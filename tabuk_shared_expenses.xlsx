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D7309F34-4902-40D4-B396-4DF48B98546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C42" i="34" l="1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8" i="26"/>
  <c r="C49" i="26" s="1"/>
  <c r="D4" i="39" s="1"/>
  <c r="D127" i="39" s="1"/>
  <c r="D4" i="15" l="1"/>
  <c r="D128" i="15" s="1"/>
</calcChain>
</file>

<file path=xl/sharedStrings.xml><?xml version="1.0" encoding="utf-8"?>
<sst xmlns="http://schemas.openxmlformats.org/spreadsheetml/2006/main" count="384" uniqueCount="49">
  <si>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</si>
  <si>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</si>
  <si>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</si>
  <si>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</si>
  <si>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</si>
  <si>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</si>
  <si>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</si>
  <si>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</si>
  <si>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</si>
  <si>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</si>
  <si>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</si>
  <si>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</si>
  <si>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</si>
  <si>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</si>
  <si>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</si>
  <si>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</si>
  <si>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</si>
  <si>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</si>
  <si>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</si>
  <si>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</si>
  <si>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</si>
  <si>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</si>
  <si>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</si>
  <si>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</si>
  <si>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</si>
  <si>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</si>
  <si>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</si>
  <si>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</si>
  <si>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</si>
  <si>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</si>
  <si>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</si>
  <si>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</si>
  <si>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</si>
  <si>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</si>
  <si>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</si>
  <si>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</si>
  <si>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</si>
  <si>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</si>
  <si>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</si>
  <si>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</si>
  <si>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</si>
  <si>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</si>
  <si>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</si>
  <si>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</si>
  <si>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</si>
  <si>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</si>
  <si>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</si>
  <si>
    <t>مقاضي للشباب + ميكرويف + أغراض للشقة</t>
  </si>
  <si>
    <t>أغراض للشقة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</si>
</sst>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195" headerRowBorderDxfId="194" tableBorderDxfId="193" totalsRowBorderDxfId="192">
  <autoFilter ref="B3:E10" xr:uid="{3E62A328-AD6E-48B2-A699-07AB142B3434}"/>
  <tableColumns count="4">
    <tableColumn id="1" xr3:uid="{77364C36-1746-4A88-91E4-1190CDC18103}" name="التاريخ" dataDxfId="191"/>
    <tableColumn id="2" xr3:uid="{800BCA27-ECC8-4824-86BC-BE4594371626}" name="الوصف" dataDxfId="190"/>
    <tableColumn id="5" xr3:uid="{1D7B4480-1FF5-44C4-9412-95A81C1BF879}" name="مبلغ الأجار" dataDxfId="189">
      <calculatedColumnFormula>'أغسطس 2026'!C48</calculatedColumnFormula>
    </tableColumn>
    <tableColumn id="4" xr3:uid="{9A6D64BF-B8FD-4769-9BFC-76FA185D5091}" name="ملاحظات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187" headerRowBorderDxfId="186" tableBorderDxfId="185" totalsRowBorderDxfId="184">
  <autoFilter ref="B3:E9" xr:uid="{3E62A328-AD6E-48B2-A699-07AB142B3434}"/>
  <tableColumns count="4">
    <tableColumn id="1" xr3:uid="{0AFC5B9A-43DF-452D-9EE6-E32FFBAD464F}" name="التاريخ" dataDxfId="183"/>
    <tableColumn id="2" xr3:uid="{E124D69E-7C7F-4A64-8592-71524EEBAEE7}" name="الوصف" dataDxfId="182"/>
    <tableColumn id="5" xr3:uid="{52B147AF-6E23-4C1E-99CF-087FEB73A02F}" name="مبلغ الأجار" dataDxfId="181">
      <calculatedColumnFormula>'أغسطس 2026'!C48</calculatedColumnFormula>
    </tableColumn>
    <tableColumn id="4" xr3:uid="{DB5E11E1-1AD2-4788-9F56-467D8698B733}" name="ملاحظات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210" tableBorderDxfId="209" totalsRowBorderDxfId="208">
  <autoFilter ref="A29:D38" xr:uid="{6A708C44-F2F5-4584-913D-DD0A472A5F82}"/>
  <tableColumns count="4">
    <tableColumn id="1" xr3:uid="{7CFF2E1C-A49A-460E-9D75-96C7FAF585A6}" name="التاريخ" dataDxfId="207"/>
    <tableColumn id="2" xr3:uid="{DBBE7C3A-9DD4-4CEF-92F8-302E0A0CB7FD}" name="الوصف" dataDxfId="206"/>
    <tableColumn id="3" xr3:uid="{E8B6E211-200A-4365-BB3F-818CA57588D9}" name="المبلغ" dataDxfId="205">
      <calculatedColumnFormula>SUM(C8:C29)</calculatedColumnFormula>
    </tableColumn>
    <tableColumn id="4" xr3:uid="{D0796C86-173C-40C5-8DE1-CEB31FF35A1C}" name="دفع بواسطة" dataDxfId="20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203" headerRowBorderDxfId="202" tableBorderDxfId="201" totalsRowBorderDxfId="200">
  <autoFilter ref="A7:D22" xr:uid="{80463B2B-140C-4BDB-8DD5-F6096215EFE7}"/>
  <tableColumns count="4">
    <tableColumn id="1" xr3:uid="{AD4A8155-6689-47BA-B9D9-19AC8BEA4910}" name="التاريخ" dataDxfId="199"/>
    <tableColumn id="2" xr3:uid="{F5FB4B0C-F432-4F80-8182-353140D7D37F}" name="الوصف" dataDxfId="198"/>
    <tableColumn id="3" xr3:uid="{E19F247C-7FD5-4806-B92F-AEDA88AF36BE}" name="المبلغ" dataDxfId="197"/>
    <tableColumn id="4" xr3:uid="{18E9AFE3-5BF0-4025-A991-7624AE9448D2}" name="دفع بواسطة" dataDxfId="1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5" zoomScale="70" zoomScaleNormal="70" workbookViewId="0">
      <selection activeCell="G124" sqref="G124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0" t="s">
        <v>0</v>
      </c>
      <c r="B1" s="80"/>
      <c r="C1" s="80"/>
      <c r="D1" s="80"/>
      <c r="E1" s="80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2869.43</v>
      </c>
      <c r="E4" s="64"/>
    </row>
    <row r="5" spans="1:6" ht="24.6" thickTop="1" thickBot="1" x14ac:dyDescent="0.35">
      <c r="A5" s="83"/>
      <c r="B5" s="53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81"/>
      <c r="B6" s="53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81"/>
      <c r="B7" s="53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81"/>
      <c r="B8" s="53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81"/>
      <c r="B9" s="54"/>
      <c r="C9" s="6" t="s">
        <v>35</v>
      </c>
      <c r="D9" s="26"/>
      <c r="E9" s="3"/>
    </row>
    <row r="10" spans="1:6" ht="24.6" thickTop="1" thickBot="1" x14ac:dyDescent="0.35">
      <c r="A10" s="81"/>
      <c r="B10" s="50"/>
      <c r="C10" s="6"/>
      <c r="D10" s="26"/>
      <c r="E10" s="3"/>
    </row>
    <row r="11" spans="1:6" ht="24.6" thickTop="1" thickBot="1" x14ac:dyDescent="0.35">
      <c r="A11" s="81"/>
      <c r="B11" s="54"/>
      <c r="C11" s="30"/>
      <c r="D11" s="29"/>
      <c r="E11" s="3"/>
    </row>
    <row r="12" spans="1:6" ht="24.6" thickTop="1" thickBot="1" x14ac:dyDescent="0.35">
      <c r="A12" s="81"/>
      <c r="B12" s="49">
        <v>46266</v>
      </c>
      <c r="C12" s="19" t="s">
        <v>27</v>
      </c>
      <c r="D12" s="66">
        <f>'سبتمبر 2026'!C43</f>
        <v>0</v>
      </c>
      <c r="E12" s="41"/>
    </row>
    <row r="13" spans="1:6" ht="24.6" thickTop="1" thickBot="1" x14ac:dyDescent="0.35">
      <c r="A13" s="81"/>
      <c r="B13" s="53"/>
      <c r="C13" s="17" t="s">
        <v>29</v>
      </c>
      <c r="D13" s="23">
        <f>'سبتمبر 2026'!C32*-1</f>
        <v>0</v>
      </c>
      <c r="E13" s="44"/>
    </row>
    <row r="14" spans="1:6" ht="24.6" thickTop="1" thickBot="1" x14ac:dyDescent="0.35">
      <c r="A14" s="81"/>
      <c r="B14" s="50"/>
      <c r="C14" s="17" t="s">
        <v>34</v>
      </c>
      <c r="D14" s="23"/>
      <c r="E14" s="43"/>
    </row>
    <row r="15" spans="1:6" ht="24.6" thickTop="1" thickBot="1" x14ac:dyDescent="0.35">
      <c r="A15" s="81"/>
      <c r="B15" s="50"/>
      <c r="C15" s="17" t="s">
        <v>35</v>
      </c>
      <c r="D15" s="23"/>
      <c r="E15" s="39"/>
    </row>
    <row r="16" spans="1:6" ht="24.6" thickTop="1" thickBot="1" x14ac:dyDescent="0.35">
      <c r="A16" s="81"/>
      <c r="B16" s="50"/>
      <c r="C16" s="27"/>
      <c r="D16" s="28"/>
      <c r="E16" s="39"/>
    </row>
    <row r="17" spans="1:5" ht="24.6" thickTop="1" thickBot="1" x14ac:dyDescent="0.35">
      <c r="A17" s="81"/>
      <c r="B17" s="52"/>
      <c r="C17" s="27"/>
      <c r="D17" s="28"/>
      <c r="E17" s="47"/>
    </row>
    <row r="18" spans="1:5" ht="24.6" thickTop="1" thickBot="1" x14ac:dyDescent="0.35">
      <c r="A18" s="81"/>
      <c r="B18" s="52"/>
      <c r="C18" s="32"/>
      <c r="D18" s="28"/>
      <c r="E18" s="48"/>
    </row>
    <row r="19" spans="1:5" ht="24.6" thickTop="1" thickBot="1" x14ac:dyDescent="0.35">
      <c r="A19" s="84" t="s">
        <v>9</v>
      </c>
      <c r="B19" s="51"/>
      <c r="C19" s="33"/>
      <c r="D19" s="24"/>
      <c r="E19" s="40"/>
    </row>
    <row r="20" spans="1:5" ht="24.6" thickTop="1" thickBot="1" x14ac:dyDescent="0.35">
      <c r="A20" s="81"/>
      <c r="B20" s="49">
        <v>46296</v>
      </c>
      <c r="C20" s="18" t="s">
        <v>27</v>
      </c>
      <c r="D20" s="65">
        <f>'أكتوبر 2026'!C43</f>
        <v>0</v>
      </c>
      <c r="E20" s="39"/>
    </row>
    <row r="21" spans="1:5" ht="24.6" thickTop="1" thickBot="1" x14ac:dyDescent="0.35">
      <c r="A21" s="81"/>
      <c r="B21" s="50"/>
      <c r="C21" s="6" t="s">
        <v>29</v>
      </c>
      <c r="D21" s="21">
        <f>'أكتوبر 2026'!C32*-1</f>
        <v>0</v>
      </c>
      <c r="E21" s="39"/>
    </row>
    <row r="22" spans="1:5" ht="24.6" thickTop="1" thickBot="1" x14ac:dyDescent="0.35">
      <c r="A22" s="81"/>
      <c r="B22" s="50"/>
      <c r="C22" s="6" t="s">
        <v>34</v>
      </c>
      <c r="D22" s="21"/>
      <c r="E22" s="43"/>
    </row>
    <row r="23" spans="1:5" ht="24.6" thickTop="1" thickBot="1" x14ac:dyDescent="0.35">
      <c r="A23" s="81"/>
      <c r="B23" s="50"/>
      <c r="C23" s="6" t="s">
        <v>35</v>
      </c>
      <c r="D23" s="21"/>
      <c r="E23" s="39"/>
    </row>
    <row r="24" spans="1:5" ht="24.6" thickTop="1" thickBot="1" x14ac:dyDescent="0.35">
      <c r="A24" s="81"/>
      <c r="B24" s="52"/>
      <c r="C24" s="10"/>
      <c r="D24" s="26"/>
      <c r="E24" s="39"/>
    </row>
    <row r="25" spans="1:5" ht="24.6" thickTop="1" thickBot="1" x14ac:dyDescent="0.35">
      <c r="A25" s="81"/>
      <c r="B25" s="52"/>
      <c r="C25" s="10"/>
      <c r="D25" s="26"/>
      <c r="E25" s="47"/>
    </row>
    <row r="26" spans="1:5" ht="24.6" thickTop="1" thickBot="1" x14ac:dyDescent="0.35">
      <c r="A26" s="81"/>
      <c r="B26" s="52"/>
      <c r="C26" s="30"/>
      <c r="D26" s="26"/>
      <c r="E26" s="48"/>
    </row>
    <row r="27" spans="1:5" ht="24.6" thickTop="1" thickBot="1" x14ac:dyDescent="0.35">
      <c r="A27" s="81" t="s">
        <v>10</v>
      </c>
      <c r="B27" s="51"/>
      <c r="C27" s="31"/>
      <c r="D27" s="22"/>
      <c r="E27" s="40"/>
    </row>
    <row r="28" spans="1:5" ht="24.6" thickTop="1" thickBot="1" x14ac:dyDescent="0.35">
      <c r="A28" s="81"/>
      <c r="B28" s="49">
        <v>46327</v>
      </c>
      <c r="C28" s="19" t="s">
        <v>27</v>
      </c>
      <c r="D28" s="66">
        <f>'نوفمبر 2026'!C43</f>
        <v>0</v>
      </c>
      <c r="E28" s="45"/>
    </row>
    <row r="29" spans="1:5" ht="24.6" thickTop="1" thickBot="1" x14ac:dyDescent="0.35">
      <c r="A29" s="81"/>
      <c r="B29" s="50"/>
      <c r="C29" s="17" t="s">
        <v>29</v>
      </c>
      <c r="D29" s="23">
        <f>'نوفمبر 2026'!C32*-1</f>
        <v>0</v>
      </c>
      <c r="E29" s="46"/>
    </row>
    <row r="30" spans="1:5" ht="24.6" thickTop="1" thickBot="1" x14ac:dyDescent="0.35">
      <c r="A30" s="81"/>
      <c r="B30" s="50"/>
      <c r="C30" s="17" t="s">
        <v>34</v>
      </c>
      <c r="D30" s="23"/>
      <c r="E30" s="43"/>
    </row>
    <row r="31" spans="1:5" ht="24.6" thickTop="1" thickBot="1" x14ac:dyDescent="0.35">
      <c r="A31" s="81"/>
      <c r="B31" s="50"/>
      <c r="C31" s="17" t="s">
        <v>35</v>
      </c>
      <c r="D31" s="23"/>
      <c r="E31" s="39"/>
    </row>
    <row r="32" spans="1:5" ht="24.6" thickTop="1" thickBot="1" x14ac:dyDescent="0.35">
      <c r="A32" s="81"/>
      <c r="B32" s="52"/>
      <c r="C32" s="27"/>
      <c r="D32" s="28"/>
      <c r="E32" s="39"/>
    </row>
    <row r="33" spans="1:5" ht="24.6" thickTop="1" thickBot="1" x14ac:dyDescent="0.35">
      <c r="A33" s="81"/>
      <c r="B33" s="52"/>
      <c r="C33" s="27"/>
      <c r="D33" s="28"/>
      <c r="E33" s="47"/>
    </row>
    <row r="34" spans="1:5" ht="24.6" thickTop="1" thickBot="1" x14ac:dyDescent="0.35">
      <c r="A34" s="81"/>
      <c r="B34" s="52"/>
      <c r="C34" s="32"/>
      <c r="D34" s="28"/>
      <c r="E34" s="48"/>
    </row>
    <row r="35" spans="1:5" ht="24.6" thickTop="1" thickBot="1" x14ac:dyDescent="0.35">
      <c r="A35" s="81" t="s">
        <v>11</v>
      </c>
      <c r="B35" s="51"/>
      <c r="C35" s="33"/>
      <c r="D35" s="24"/>
      <c r="E35" s="40"/>
    </row>
    <row r="36" spans="1:5" ht="24.6" thickTop="1" thickBot="1" x14ac:dyDescent="0.35">
      <c r="A36" s="81"/>
      <c r="B36" s="49">
        <v>46357</v>
      </c>
      <c r="C36" s="18" t="s">
        <v>27</v>
      </c>
      <c r="D36" s="65">
        <f>'ديسمبر 2026'!C43</f>
        <v>0</v>
      </c>
      <c r="E36" s="45"/>
    </row>
    <row r="37" spans="1:5" ht="24.6" thickTop="1" thickBot="1" x14ac:dyDescent="0.35">
      <c r="A37" s="81"/>
      <c r="B37" s="53"/>
      <c r="C37" s="6" t="s">
        <v>29</v>
      </c>
      <c r="D37" s="21">
        <f>'ديسمبر 2026'!C32*-1</f>
        <v>0</v>
      </c>
      <c r="E37" s="46"/>
    </row>
    <row r="38" spans="1:5" ht="24.6" thickTop="1" thickBot="1" x14ac:dyDescent="0.35">
      <c r="A38" s="81"/>
      <c r="B38" s="50"/>
      <c r="C38" s="6" t="s">
        <v>34</v>
      </c>
      <c r="D38" s="21"/>
      <c r="E38" s="43"/>
    </row>
    <row r="39" spans="1:5" ht="24.6" thickTop="1" thickBot="1" x14ac:dyDescent="0.35">
      <c r="A39" s="81"/>
      <c r="B39" s="50"/>
      <c r="C39" s="6" t="s">
        <v>35</v>
      </c>
      <c r="D39" s="21"/>
      <c r="E39" s="39"/>
    </row>
    <row r="40" spans="1:5" ht="24.6" thickTop="1" thickBot="1" x14ac:dyDescent="0.35">
      <c r="A40" s="81"/>
      <c r="B40" s="52"/>
      <c r="C40" s="10"/>
      <c r="D40" s="26"/>
      <c r="E40" s="39"/>
    </row>
    <row r="41" spans="1:5" ht="24.6" thickTop="1" thickBot="1" x14ac:dyDescent="0.35">
      <c r="A41" s="81"/>
      <c r="B41" s="52"/>
      <c r="C41" s="10"/>
      <c r="D41" s="26"/>
      <c r="E41" s="42"/>
    </row>
    <row r="42" spans="1:5" ht="24.6" thickTop="1" thickBot="1" x14ac:dyDescent="0.35">
      <c r="A42" s="81"/>
      <c r="B42" s="52"/>
      <c r="C42" s="10"/>
      <c r="D42" s="26"/>
      <c r="E42" s="47"/>
    </row>
    <row r="43" spans="1:5" ht="24.6" thickTop="1" thickBot="1" x14ac:dyDescent="0.35">
      <c r="A43" s="81"/>
      <c r="B43" s="52"/>
      <c r="C43" s="30"/>
      <c r="D43" s="26"/>
      <c r="E43" s="48"/>
    </row>
    <row r="44" spans="1:5" ht="24.6" thickTop="1" thickBot="1" x14ac:dyDescent="0.35">
      <c r="A44" s="81" t="s">
        <v>12</v>
      </c>
      <c r="B44" s="51"/>
      <c r="C44" s="31"/>
      <c r="D44" s="22"/>
      <c r="E44" s="40"/>
    </row>
    <row r="45" spans="1:5" ht="24.6" thickTop="1" thickBot="1" x14ac:dyDescent="0.35">
      <c r="A45" s="81"/>
      <c r="B45" s="49">
        <v>46388</v>
      </c>
      <c r="C45" s="19" t="s">
        <v>27</v>
      </c>
      <c r="D45" s="66">
        <f>'يناير 2027'!C43</f>
        <v>0</v>
      </c>
      <c r="E45" s="45"/>
    </row>
    <row r="46" spans="1:5" ht="24.6" thickTop="1" thickBot="1" x14ac:dyDescent="0.35">
      <c r="A46" s="81"/>
      <c r="B46" s="53"/>
      <c r="C46" s="17" t="s">
        <v>29</v>
      </c>
      <c r="D46" s="23">
        <f>'يناير 2027'!C32*-1</f>
        <v>0</v>
      </c>
      <c r="E46" s="46"/>
    </row>
    <row r="47" spans="1:5" ht="24.6" thickTop="1" thickBot="1" x14ac:dyDescent="0.35">
      <c r="A47" s="81"/>
      <c r="B47" s="50"/>
      <c r="C47" s="17" t="s">
        <v>34</v>
      </c>
      <c r="D47" s="23"/>
      <c r="E47" s="43"/>
    </row>
    <row r="48" spans="1:5" ht="24.6" thickTop="1" thickBot="1" x14ac:dyDescent="0.35">
      <c r="A48" s="81"/>
      <c r="B48" s="50"/>
      <c r="C48" s="17" t="s">
        <v>35</v>
      </c>
      <c r="D48" s="23"/>
      <c r="E48" s="39"/>
    </row>
    <row r="49" spans="1:5" ht="24.6" thickTop="1" thickBot="1" x14ac:dyDescent="0.35">
      <c r="A49" s="81"/>
      <c r="B49" s="52"/>
      <c r="C49" s="27"/>
      <c r="D49" s="28"/>
      <c r="E49" s="62"/>
    </row>
    <row r="50" spans="1:5" ht="24.6" thickTop="1" thickBot="1" x14ac:dyDescent="0.35">
      <c r="A50" s="81"/>
      <c r="B50" s="52"/>
      <c r="C50" s="27"/>
      <c r="D50" s="28"/>
      <c r="E50" s="39"/>
    </row>
    <row r="51" spans="1:5" ht="24.6" thickTop="1" thickBot="1" x14ac:dyDescent="0.35">
      <c r="A51" s="81"/>
      <c r="B51" s="52"/>
      <c r="C51" s="27"/>
      <c r="D51" s="28"/>
      <c r="E51" s="47"/>
    </row>
    <row r="52" spans="1:5" ht="24.6" thickTop="1" thickBot="1" x14ac:dyDescent="0.35">
      <c r="A52" s="81"/>
      <c r="B52" s="52"/>
      <c r="C52" s="32"/>
      <c r="D52" s="28"/>
      <c r="E52" s="48"/>
    </row>
    <row r="53" spans="1:5" ht="24.6" thickTop="1" thickBot="1" x14ac:dyDescent="0.35">
      <c r="A53" s="81" t="s">
        <v>13</v>
      </c>
      <c r="B53" s="51"/>
      <c r="C53" s="33"/>
      <c r="D53" s="24"/>
      <c r="E53" s="40"/>
    </row>
    <row r="54" spans="1:5" ht="24.6" thickTop="1" thickBot="1" x14ac:dyDescent="0.35">
      <c r="A54" s="81"/>
      <c r="B54" s="49">
        <v>46419</v>
      </c>
      <c r="C54" s="18" t="s">
        <v>27</v>
      </c>
      <c r="D54" s="65">
        <f>'فبراير 2027'!C43</f>
        <v>0</v>
      </c>
      <c r="E54" s="45"/>
    </row>
    <row r="55" spans="1:5" ht="24.6" thickTop="1" thickBot="1" x14ac:dyDescent="0.35">
      <c r="A55" s="81"/>
      <c r="B55" s="53"/>
      <c r="C55" s="6" t="s">
        <v>29</v>
      </c>
      <c r="D55" s="21">
        <f>'فبراير 2027'!C32*-1</f>
        <v>0</v>
      </c>
      <c r="E55" s="46"/>
    </row>
    <row r="56" spans="1:5" ht="24.6" thickTop="1" thickBot="1" x14ac:dyDescent="0.35">
      <c r="A56" s="81"/>
      <c r="B56" s="50"/>
      <c r="C56" s="6" t="s">
        <v>34</v>
      </c>
      <c r="D56" s="21"/>
      <c r="E56" s="43"/>
    </row>
    <row r="57" spans="1:5" ht="24.6" thickTop="1" thickBot="1" x14ac:dyDescent="0.35">
      <c r="A57" s="81"/>
      <c r="B57" s="50"/>
      <c r="C57" s="6" t="s">
        <v>35</v>
      </c>
      <c r="D57" s="21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39"/>
    </row>
    <row r="60" spans="1:5" ht="24.6" thickTop="1" thickBot="1" x14ac:dyDescent="0.35">
      <c r="A60" s="81"/>
      <c r="B60" s="52"/>
      <c r="C60" s="10"/>
      <c r="D60" s="26"/>
      <c r="E60" s="47"/>
    </row>
    <row r="61" spans="1:5" ht="24.6" thickTop="1" thickBot="1" x14ac:dyDescent="0.35">
      <c r="A61" s="81"/>
      <c r="B61" s="52"/>
      <c r="C61" s="30"/>
      <c r="D61" s="26"/>
      <c r="E61" s="48"/>
    </row>
    <row r="62" spans="1:5" ht="24.6" thickTop="1" thickBot="1" x14ac:dyDescent="0.35">
      <c r="A62" s="81" t="s">
        <v>14</v>
      </c>
      <c r="B62" s="51"/>
      <c r="C62" s="31"/>
      <c r="D62" s="22"/>
      <c r="E62" s="40"/>
    </row>
    <row r="63" spans="1:5" ht="24.6" thickTop="1" thickBot="1" x14ac:dyDescent="0.35">
      <c r="A63" s="81"/>
      <c r="B63" s="49">
        <v>46447</v>
      </c>
      <c r="C63" s="19" t="s">
        <v>27</v>
      </c>
      <c r="D63" s="66">
        <f>'مارس 2027'!C43</f>
        <v>0</v>
      </c>
      <c r="E63" s="63"/>
    </row>
    <row r="64" spans="1:5" ht="24.6" thickTop="1" thickBot="1" x14ac:dyDescent="0.35">
      <c r="A64" s="81"/>
      <c r="B64" s="53"/>
      <c r="C64" s="17" t="s">
        <v>29</v>
      </c>
      <c r="D64" s="23">
        <f>'مارس 2027'!C32*-1</f>
        <v>0</v>
      </c>
      <c r="E64" s="46"/>
    </row>
    <row r="65" spans="1:5" ht="24.6" thickTop="1" thickBot="1" x14ac:dyDescent="0.35">
      <c r="A65" s="81"/>
      <c r="B65" s="50"/>
      <c r="C65" s="17" t="s">
        <v>34</v>
      </c>
      <c r="D65" s="23"/>
      <c r="E65" s="43"/>
    </row>
    <row r="66" spans="1:5" ht="24.6" thickTop="1" thickBot="1" x14ac:dyDescent="0.35">
      <c r="A66" s="81"/>
      <c r="B66" s="50"/>
      <c r="C66" s="17" t="s">
        <v>35</v>
      </c>
      <c r="D66" s="23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39"/>
    </row>
    <row r="70" spans="1:5" ht="24.6" thickTop="1" thickBot="1" x14ac:dyDescent="0.35">
      <c r="A70" s="81"/>
      <c r="B70" s="52"/>
      <c r="C70" s="27"/>
      <c r="D70" s="28"/>
      <c r="E70" s="47"/>
    </row>
    <row r="71" spans="1:5" ht="24.6" thickTop="1" thickBot="1" x14ac:dyDescent="0.35">
      <c r="A71" s="81"/>
      <c r="B71" s="52"/>
      <c r="C71" s="32"/>
      <c r="D71" s="28"/>
      <c r="E71" s="48"/>
    </row>
    <row r="72" spans="1:5" ht="24.6" thickTop="1" thickBot="1" x14ac:dyDescent="0.35">
      <c r="A72" s="81" t="s">
        <v>15</v>
      </c>
      <c r="B72" s="51"/>
      <c r="C72" s="33"/>
      <c r="D72" s="24"/>
      <c r="E72" s="40"/>
    </row>
    <row r="73" spans="1:5" ht="24.6" thickTop="1" thickBot="1" x14ac:dyDescent="0.35">
      <c r="A73" s="81"/>
      <c r="B73" s="49">
        <v>46478</v>
      </c>
      <c r="C73" s="18" t="s">
        <v>27</v>
      </c>
      <c r="D73" s="65">
        <f>'أبريل 2027'!C43</f>
        <v>0</v>
      </c>
      <c r="E73" s="45"/>
    </row>
    <row r="74" spans="1:5" ht="24.6" thickTop="1" thickBot="1" x14ac:dyDescent="0.35">
      <c r="A74" s="81"/>
      <c r="B74" s="53"/>
      <c r="C74" s="6" t="s">
        <v>29</v>
      </c>
      <c r="D74" s="21">
        <f>'أبريل 2027'!C32*-1</f>
        <v>0</v>
      </c>
      <c r="E74" s="46"/>
    </row>
    <row r="75" spans="1:5" ht="24.6" thickTop="1" thickBot="1" x14ac:dyDescent="0.35">
      <c r="A75" s="81"/>
      <c r="B75" s="50"/>
      <c r="C75" s="6" t="s">
        <v>34</v>
      </c>
      <c r="D75" s="21"/>
      <c r="E75" s="43"/>
    </row>
    <row r="76" spans="1:5" ht="24.6" thickTop="1" thickBot="1" x14ac:dyDescent="0.35">
      <c r="A76" s="81"/>
      <c r="B76" s="50"/>
      <c r="C76" s="6" t="s">
        <v>35</v>
      </c>
      <c r="D76" s="21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39"/>
    </row>
    <row r="80" spans="1:5" ht="24.6" thickTop="1" thickBot="1" x14ac:dyDescent="0.35">
      <c r="A80" s="81"/>
      <c r="B80" s="52"/>
      <c r="C80" s="10"/>
      <c r="D80" s="26"/>
      <c r="E80" s="47"/>
    </row>
    <row r="81" spans="1:5" ht="24.6" thickTop="1" thickBot="1" x14ac:dyDescent="0.35">
      <c r="A81" s="81"/>
      <c r="B81" s="52"/>
      <c r="C81" s="30"/>
      <c r="D81" s="26"/>
      <c r="E81" s="48"/>
    </row>
    <row r="82" spans="1:5" ht="24.6" thickTop="1" thickBot="1" x14ac:dyDescent="0.35">
      <c r="A82" s="81" t="s">
        <v>16</v>
      </c>
      <c r="B82" s="51"/>
      <c r="C82" s="31"/>
      <c r="D82" s="22"/>
      <c r="E82" s="40"/>
    </row>
    <row r="83" spans="1:5" ht="24.6" thickTop="1" thickBot="1" x14ac:dyDescent="0.35">
      <c r="A83" s="81"/>
      <c r="B83" s="49">
        <v>46508</v>
      </c>
      <c r="C83" s="19" t="s">
        <v>27</v>
      </c>
      <c r="D83" s="66">
        <f>'مارس 2027'!C43</f>
        <v>0</v>
      </c>
      <c r="E83" s="45"/>
    </row>
    <row r="84" spans="1:5" ht="24.6" thickTop="1" thickBot="1" x14ac:dyDescent="0.35">
      <c r="A84" s="81"/>
      <c r="B84" s="53"/>
      <c r="C84" s="17" t="s">
        <v>29</v>
      </c>
      <c r="D84" s="23">
        <f>'مارس 2027'!C32*-1</f>
        <v>0</v>
      </c>
      <c r="E84" s="46"/>
    </row>
    <row r="85" spans="1:5" ht="24.6" thickTop="1" thickBot="1" x14ac:dyDescent="0.35">
      <c r="A85" s="81"/>
      <c r="B85" s="50"/>
      <c r="C85" s="17" t="s">
        <v>34</v>
      </c>
      <c r="D85" s="23"/>
      <c r="E85" s="43"/>
    </row>
    <row r="86" spans="1:5" ht="24.6" thickTop="1" thickBot="1" x14ac:dyDescent="0.35">
      <c r="A86" s="81"/>
      <c r="B86" s="50"/>
      <c r="C86" s="17" t="s">
        <v>35</v>
      </c>
      <c r="D86" s="23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39"/>
    </row>
    <row r="89" spans="1:5" ht="24.6" thickTop="1" thickBot="1" x14ac:dyDescent="0.35">
      <c r="A89" s="81"/>
      <c r="B89" s="52"/>
      <c r="C89" s="27"/>
      <c r="D89" s="28"/>
      <c r="E89" s="47"/>
    </row>
    <row r="90" spans="1:5" ht="24.6" thickTop="1" thickBot="1" x14ac:dyDescent="0.35">
      <c r="A90" s="81"/>
      <c r="B90" s="52"/>
      <c r="C90" s="32"/>
      <c r="D90" s="28"/>
      <c r="E90" s="48"/>
    </row>
    <row r="91" spans="1:5" ht="24.6" thickTop="1" thickBot="1" x14ac:dyDescent="0.35">
      <c r="A91" s="81" t="s">
        <v>17</v>
      </c>
      <c r="B91" s="51"/>
      <c r="C91" s="33"/>
      <c r="D91" s="24"/>
      <c r="E91" s="40"/>
    </row>
    <row r="92" spans="1:5" ht="24.6" thickTop="1" thickBot="1" x14ac:dyDescent="0.35">
      <c r="A92" s="81"/>
      <c r="B92" s="49">
        <v>46539</v>
      </c>
      <c r="C92" s="18" t="s">
        <v>27</v>
      </c>
      <c r="D92" s="65">
        <f>'يونيو 2027'!C43</f>
        <v>0</v>
      </c>
      <c r="E92" s="45"/>
    </row>
    <row r="93" spans="1:5" ht="24.6" thickTop="1" thickBot="1" x14ac:dyDescent="0.35">
      <c r="A93" s="81"/>
      <c r="B93" s="53"/>
      <c r="C93" s="6" t="s">
        <v>29</v>
      </c>
      <c r="D93" s="21">
        <f>'يونيو 2027'!C32*-1</f>
        <v>0</v>
      </c>
      <c r="E93" s="46"/>
    </row>
    <row r="94" spans="1:5" ht="24.6" thickTop="1" thickBot="1" x14ac:dyDescent="0.35">
      <c r="A94" s="81"/>
      <c r="B94" s="50"/>
      <c r="C94" s="6" t="s">
        <v>34</v>
      </c>
      <c r="D94" s="21"/>
      <c r="E94" s="43"/>
    </row>
    <row r="95" spans="1:5" ht="24.6" thickTop="1" thickBot="1" x14ac:dyDescent="0.35">
      <c r="A95" s="81"/>
      <c r="B95" s="50"/>
      <c r="C95" s="6" t="s">
        <v>35</v>
      </c>
      <c r="D95" s="21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39"/>
    </row>
    <row r="98" spans="1:5" ht="24.6" thickTop="1" thickBot="1" x14ac:dyDescent="0.35">
      <c r="A98" s="81"/>
      <c r="B98" s="52"/>
      <c r="C98" s="10"/>
      <c r="D98" s="26"/>
      <c r="E98" s="47"/>
    </row>
    <row r="99" spans="1:5" ht="24.6" thickTop="1" thickBot="1" x14ac:dyDescent="0.35">
      <c r="A99" s="81"/>
      <c r="B99" s="52"/>
      <c r="C99" s="30"/>
      <c r="D99" s="26"/>
      <c r="E99" s="48"/>
    </row>
    <row r="100" spans="1:5" ht="24.6" thickTop="1" thickBot="1" x14ac:dyDescent="0.35">
      <c r="A100" s="81" t="s">
        <v>18</v>
      </c>
      <c r="B100" s="51"/>
      <c r="C100" s="31"/>
      <c r="D100" s="22"/>
      <c r="E100" s="40"/>
    </row>
    <row r="101" spans="1:5" ht="24.6" thickTop="1" thickBot="1" x14ac:dyDescent="0.35">
      <c r="A101" s="81"/>
      <c r="B101" s="49">
        <v>46569</v>
      </c>
      <c r="C101" s="19" t="s">
        <v>27</v>
      </c>
      <c r="D101" s="66">
        <f>'يوليو 2027'!C43</f>
        <v>0</v>
      </c>
      <c r="E101" s="45"/>
    </row>
    <row r="102" spans="1:5" ht="24.6" thickTop="1" thickBot="1" x14ac:dyDescent="0.35">
      <c r="A102" s="81"/>
      <c r="B102" s="53"/>
      <c r="C102" s="17" t="s">
        <v>29</v>
      </c>
      <c r="D102" s="23">
        <f>'يوليو 2027'!C32*-1</f>
        <v>0</v>
      </c>
      <c r="E102" s="46"/>
    </row>
    <row r="103" spans="1:5" ht="24.6" thickTop="1" thickBot="1" x14ac:dyDescent="0.35">
      <c r="A103" s="81"/>
      <c r="B103" s="50"/>
      <c r="C103" s="17" t="s">
        <v>34</v>
      </c>
      <c r="D103" s="23"/>
      <c r="E103" s="43"/>
    </row>
    <row r="104" spans="1:5" ht="24.6" thickTop="1" thickBot="1" x14ac:dyDescent="0.35">
      <c r="A104" s="81"/>
      <c r="B104" s="50"/>
      <c r="C104" s="17" t="s">
        <v>35</v>
      </c>
      <c r="D104" s="23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39"/>
    </row>
    <row r="107" spans="1:5" ht="24.6" thickTop="1" thickBot="1" x14ac:dyDescent="0.35">
      <c r="A107" s="81"/>
      <c r="B107" s="52"/>
      <c r="C107" s="27"/>
      <c r="D107" s="28"/>
      <c r="E107" s="47"/>
    </row>
    <row r="108" spans="1:5" ht="24.6" thickTop="1" thickBot="1" x14ac:dyDescent="0.35">
      <c r="A108" s="85"/>
      <c r="B108" s="52"/>
      <c r="C108" s="32"/>
      <c r="D108" s="28"/>
      <c r="E108" s="39"/>
    </row>
    <row r="109" spans="1:5" ht="24.6" thickTop="1" thickBot="1" x14ac:dyDescent="0.35">
      <c r="A109" s="81" t="s">
        <v>19</v>
      </c>
      <c r="B109" s="51"/>
      <c r="C109" s="33"/>
      <c r="D109" s="24"/>
      <c r="E109" s="40"/>
    </row>
    <row r="110" spans="1:5" ht="24.6" thickTop="1" thickBot="1" x14ac:dyDescent="0.35">
      <c r="A110" s="81"/>
      <c r="B110" s="49">
        <v>46600</v>
      </c>
      <c r="C110" s="18" t="s">
        <v>27</v>
      </c>
      <c r="D110" s="65">
        <f>'أغسطس 2027'!C43</f>
        <v>0</v>
      </c>
      <c r="E110" s="45"/>
    </row>
    <row r="111" spans="1:5" ht="24.6" thickTop="1" thickBot="1" x14ac:dyDescent="0.35">
      <c r="A111" s="81"/>
      <c r="B111" s="53"/>
      <c r="C111" s="6" t="s">
        <v>29</v>
      </c>
      <c r="D111" s="21">
        <f>'أغسطس 2027'!C32*-1</f>
        <v>0</v>
      </c>
      <c r="E111" s="46"/>
    </row>
    <row r="112" spans="1:5" ht="24.6" thickTop="1" thickBot="1" x14ac:dyDescent="0.35">
      <c r="A112" s="81"/>
      <c r="B112" s="50"/>
      <c r="C112" s="6" t="s">
        <v>34</v>
      </c>
      <c r="D112" s="21"/>
      <c r="E112" s="43"/>
    </row>
    <row r="113" spans="1:5" ht="24.6" thickTop="1" thickBot="1" x14ac:dyDescent="0.35">
      <c r="A113" s="81"/>
      <c r="B113" s="50"/>
      <c r="C113" s="6" t="s">
        <v>35</v>
      </c>
      <c r="D113" s="21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39"/>
    </row>
    <row r="116" spans="1:5" ht="24.6" thickTop="1" thickBot="1" x14ac:dyDescent="0.35">
      <c r="A116" s="81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30</v>
      </c>
      <c r="D123" s="25"/>
    </row>
    <row r="124" spans="1:5" ht="24.6" thickTop="1" thickBot="1" x14ac:dyDescent="0.35">
      <c r="B124" s="37">
        <v>46257</v>
      </c>
      <c r="D124" s="25"/>
    </row>
    <row r="125" spans="1:5" ht="24.6" thickTop="1" thickBot="1" x14ac:dyDescent="0.35">
      <c r="B125" s="56" t="s">
        <v>33</v>
      </c>
      <c r="D125" s="25"/>
    </row>
    <row r="126" spans="1:5" ht="24.6" thickTop="1" thickBot="1" x14ac:dyDescent="0.35">
      <c r="B126" s="56">
        <v>46621</v>
      </c>
      <c r="D126" s="25"/>
    </row>
    <row r="127" spans="1:5" ht="24.6" thickTop="1" thickBot="1" x14ac:dyDescent="0.35">
      <c r="D127" s="34" t="s">
        <v>28</v>
      </c>
    </row>
    <row r="128" spans="1:5" ht="24.6" thickTop="1" thickBot="1" x14ac:dyDescent="0.5">
      <c r="C128" s="4"/>
      <c r="D128" s="34">
        <f>SUM(D4:D119)</f>
        <v>-1497.4300000000003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opLeftCell="A6" zoomScale="70" zoomScaleNormal="70" workbookViewId="0">
      <selection activeCell="F121" sqref="F121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31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2869.43</v>
      </c>
      <c r="E4" s="64"/>
    </row>
    <row r="5" spans="1:6" ht="24.6" thickTop="1" thickBot="1" x14ac:dyDescent="0.35">
      <c r="A5" s="83"/>
      <c r="B5" s="53"/>
      <c r="C5" s="6" t="s">
        <v>32</v>
      </c>
      <c r="D5" s="21">
        <f>'أغسطس 2026'!C22*-1</f>
        <v>-5722</v>
      </c>
      <c r="E5" s="3"/>
    </row>
    <row r="6" spans="1:6" ht="24.6" thickTop="1" thickBot="1" x14ac:dyDescent="0.35">
      <c r="A6" s="81"/>
      <c r="B6" s="53"/>
      <c r="C6" s="6" t="s">
        <v>35</v>
      </c>
      <c r="D6" s="21"/>
      <c r="E6" s="3"/>
    </row>
    <row r="7" spans="1:6" ht="24.6" thickTop="1" thickBot="1" x14ac:dyDescent="0.35">
      <c r="A7" s="81"/>
      <c r="B7" s="53">
        <v>46250</v>
      </c>
      <c r="C7" s="6" t="s">
        <v>34</v>
      </c>
      <c r="D7" s="26">
        <v>850</v>
      </c>
      <c r="E7" s="3"/>
    </row>
    <row r="8" spans="1:6" ht="24.6" thickTop="1" thickBot="1" x14ac:dyDescent="0.35">
      <c r="A8" s="81"/>
      <c r="B8" s="53">
        <v>46252</v>
      </c>
      <c r="C8" s="6" t="s">
        <v>34</v>
      </c>
      <c r="D8" s="26">
        <v>1000</v>
      </c>
      <c r="E8" s="3"/>
    </row>
    <row r="9" spans="1:6" ht="24.6" thickTop="1" thickBot="1" x14ac:dyDescent="0.35">
      <c r="A9" s="81"/>
      <c r="B9" s="53">
        <v>46256</v>
      </c>
      <c r="C9" s="6" t="s">
        <v>34</v>
      </c>
      <c r="D9" s="26">
        <v>2500</v>
      </c>
      <c r="E9" s="79"/>
    </row>
    <row r="10" spans="1:6" ht="24.6" thickTop="1" thickBot="1" x14ac:dyDescent="0.35">
      <c r="A10" s="81"/>
      <c r="B10" s="54"/>
      <c r="C10" s="30"/>
      <c r="D10" s="29"/>
      <c r="E10" s="3"/>
    </row>
    <row r="11" spans="1:6" ht="24.6" thickTop="1" thickBot="1" x14ac:dyDescent="0.35">
      <c r="A11" s="81"/>
      <c r="B11" s="49">
        <v>46266</v>
      </c>
      <c r="C11" s="19" t="s">
        <v>27</v>
      </c>
      <c r="D11" s="66">
        <f>'سبتمبر 2026'!C43</f>
        <v>0</v>
      </c>
      <c r="E11" s="41"/>
    </row>
    <row r="12" spans="1:6" ht="24.6" thickTop="1" thickBot="1" x14ac:dyDescent="0.35">
      <c r="A12" s="81"/>
      <c r="B12" s="53"/>
      <c r="C12" s="17" t="s">
        <v>32</v>
      </c>
      <c r="D12" s="23">
        <f>'سبتمبر 2026'!C16*-1</f>
        <v>0</v>
      </c>
      <c r="E12" s="44"/>
    </row>
    <row r="13" spans="1:6" ht="24.6" thickTop="1" thickBot="1" x14ac:dyDescent="0.35">
      <c r="A13" s="81"/>
      <c r="B13" s="50"/>
      <c r="C13" s="17" t="s">
        <v>35</v>
      </c>
      <c r="D13" s="23"/>
      <c r="E13" s="43"/>
    </row>
    <row r="14" spans="1:6" ht="24.6" thickTop="1" thickBot="1" x14ac:dyDescent="0.35">
      <c r="A14" s="81"/>
      <c r="B14" s="50"/>
      <c r="C14" s="17" t="s">
        <v>34</v>
      </c>
      <c r="D14" s="23"/>
      <c r="E14" s="39"/>
    </row>
    <row r="15" spans="1:6" ht="24.6" thickTop="1" thickBot="1" x14ac:dyDescent="0.35">
      <c r="A15" s="81"/>
      <c r="B15" s="50"/>
      <c r="C15" s="27"/>
      <c r="D15" s="28"/>
      <c r="E15" s="39"/>
    </row>
    <row r="16" spans="1:6" ht="24.6" thickTop="1" thickBot="1" x14ac:dyDescent="0.35">
      <c r="A16" s="81"/>
      <c r="B16" s="52"/>
      <c r="C16" s="27"/>
      <c r="D16" s="28"/>
      <c r="E16" s="47"/>
    </row>
    <row r="17" spans="1:5" ht="24.6" thickTop="1" thickBot="1" x14ac:dyDescent="0.35">
      <c r="A17" s="81"/>
      <c r="B17" s="52"/>
      <c r="C17" s="32"/>
      <c r="D17" s="28"/>
      <c r="E17" s="48"/>
    </row>
    <row r="18" spans="1:5" ht="24.6" thickTop="1" thickBot="1" x14ac:dyDescent="0.35">
      <c r="A18" s="84" t="s">
        <v>9</v>
      </c>
      <c r="B18" s="51"/>
      <c r="C18" s="33"/>
      <c r="D18" s="24"/>
      <c r="E18" s="40"/>
    </row>
    <row r="19" spans="1:5" ht="24.6" thickTop="1" thickBot="1" x14ac:dyDescent="0.35">
      <c r="A19" s="81"/>
      <c r="B19" s="49">
        <v>46296</v>
      </c>
      <c r="C19" s="18" t="s">
        <v>27</v>
      </c>
      <c r="D19" s="65">
        <f>'أكتوبر 2026'!C43</f>
        <v>0</v>
      </c>
      <c r="E19" s="39"/>
    </row>
    <row r="20" spans="1:5" ht="24.6" thickTop="1" thickBot="1" x14ac:dyDescent="0.35">
      <c r="A20" s="81"/>
      <c r="B20" s="50"/>
      <c r="C20" s="6" t="s">
        <v>32</v>
      </c>
      <c r="D20" s="21">
        <f>'أكتوبر 2026'!C16*-1</f>
        <v>0</v>
      </c>
      <c r="E20" s="39"/>
    </row>
    <row r="21" spans="1:5" ht="24.6" thickTop="1" thickBot="1" x14ac:dyDescent="0.35">
      <c r="A21" s="81"/>
      <c r="B21" s="50"/>
      <c r="C21" s="6" t="s">
        <v>35</v>
      </c>
      <c r="D21" s="21"/>
      <c r="E21" s="43"/>
    </row>
    <row r="22" spans="1:5" ht="24.6" thickTop="1" thickBot="1" x14ac:dyDescent="0.35">
      <c r="A22" s="81"/>
      <c r="B22" s="50"/>
      <c r="C22" s="6" t="s">
        <v>34</v>
      </c>
      <c r="D22" s="21"/>
      <c r="E22" s="39"/>
    </row>
    <row r="23" spans="1:5" ht="24.6" thickTop="1" thickBot="1" x14ac:dyDescent="0.35">
      <c r="A23" s="81"/>
      <c r="B23" s="52"/>
      <c r="C23" s="10"/>
      <c r="D23" s="26"/>
      <c r="E23" s="39"/>
    </row>
    <row r="24" spans="1:5" ht="24.6" thickTop="1" thickBot="1" x14ac:dyDescent="0.35">
      <c r="A24" s="81"/>
      <c r="B24" s="52"/>
      <c r="C24" s="10"/>
      <c r="D24" s="26"/>
      <c r="E24" s="47"/>
    </row>
    <row r="25" spans="1:5" ht="24.6" thickTop="1" thickBot="1" x14ac:dyDescent="0.35">
      <c r="A25" s="81"/>
      <c r="B25" s="52"/>
      <c r="C25" s="30"/>
      <c r="D25" s="26"/>
      <c r="E25" s="48"/>
    </row>
    <row r="26" spans="1:5" ht="24.6" thickTop="1" thickBot="1" x14ac:dyDescent="0.35">
      <c r="A26" s="81" t="s">
        <v>10</v>
      </c>
      <c r="B26" s="51"/>
      <c r="C26" s="31"/>
      <c r="D26" s="22"/>
      <c r="E26" s="40"/>
    </row>
    <row r="27" spans="1:5" ht="24.6" thickTop="1" thickBot="1" x14ac:dyDescent="0.35">
      <c r="A27" s="81"/>
      <c r="B27" s="49">
        <v>46327</v>
      </c>
      <c r="C27" s="19" t="s">
        <v>27</v>
      </c>
      <c r="D27" s="66">
        <f>'نوفمبر 2026'!C43</f>
        <v>0</v>
      </c>
      <c r="E27" s="45"/>
    </row>
    <row r="28" spans="1:5" ht="24.6" thickTop="1" thickBot="1" x14ac:dyDescent="0.35">
      <c r="A28" s="81"/>
      <c r="B28" s="50"/>
      <c r="C28" s="17" t="s">
        <v>32</v>
      </c>
      <c r="D28" s="23">
        <f>'نوفمبر 2026'!C16*-1</f>
        <v>0</v>
      </c>
      <c r="E28" s="46"/>
    </row>
    <row r="29" spans="1:5" ht="24.6" thickTop="1" thickBot="1" x14ac:dyDescent="0.35">
      <c r="A29" s="81"/>
      <c r="B29" s="50"/>
      <c r="C29" s="17" t="s">
        <v>35</v>
      </c>
      <c r="D29" s="23"/>
      <c r="E29" s="43"/>
    </row>
    <row r="30" spans="1:5" ht="24.6" thickTop="1" thickBot="1" x14ac:dyDescent="0.35">
      <c r="A30" s="81"/>
      <c r="B30" s="50"/>
      <c r="C30" s="17" t="s">
        <v>34</v>
      </c>
      <c r="D30" s="23"/>
      <c r="E30" s="39"/>
    </row>
    <row r="31" spans="1:5" ht="24.6" thickTop="1" thickBot="1" x14ac:dyDescent="0.35">
      <c r="A31" s="81"/>
      <c r="B31" s="52"/>
      <c r="C31" s="27"/>
      <c r="D31" s="28"/>
      <c r="E31" s="39"/>
    </row>
    <row r="32" spans="1:5" ht="24.6" thickTop="1" thickBot="1" x14ac:dyDescent="0.35">
      <c r="A32" s="81"/>
      <c r="B32" s="52"/>
      <c r="C32" s="27"/>
      <c r="D32" s="28"/>
      <c r="E32" s="47"/>
    </row>
    <row r="33" spans="1:5" ht="24.6" thickTop="1" thickBot="1" x14ac:dyDescent="0.35">
      <c r="A33" s="81"/>
      <c r="B33" s="52"/>
      <c r="C33" s="32"/>
      <c r="D33" s="28"/>
      <c r="E33" s="48"/>
    </row>
    <row r="34" spans="1:5" ht="24.6" thickTop="1" thickBot="1" x14ac:dyDescent="0.35">
      <c r="A34" s="81" t="s">
        <v>11</v>
      </c>
      <c r="B34" s="51"/>
      <c r="C34" s="33"/>
      <c r="D34" s="24"/>
      <c r="E34" s="40"/>
    </row>
    <row r="35" spans="1:5" ht="24.6" thickTop="1" thickBot="1" x14ac:dyDescent="0.35">
      <c r="A35" s="81"/>
      <c r="B35" s="49">
        <v>46357</v>
      </c>
      <c r="C35" s="18" t="s">
        <v>27</v>
      </c>
      <c r="D35" s="65">
        <f>'ديسمبر 2026'!C43</f>
        <v>0</v>
      </c>
      <c r="E35" s="45"/>
    </row>
    <row r="36" spans="1:5" ht="24.6" thickTop="1" thickBot="1" x14ac:dyDescent="0.35">
      <c r="A36" s="81"/>
      <c r="B36" s="53"/>
      <c r="C36" s="6" t="s">
        <v>32</v>
      </c>
      <c r="D36" s="21">
        <f>'ديسمبر 2026'!C16*-1</f>
        <v>0</v>
      </c>
      <c r="E36" s="46"/>
    </row>
    <row r="37" spans="1:5" ht="24.6" thickTop="1" thickBot="1" x14ac:dyDescent="0.35">
      <c r="A37" s="81"/>
      <c r="B37" s="50"/>
      <c r="C37" s="6" t="s">
        <v>35</v>
      </c>
      <c r="D37" s="21"/>
      <c r="E37" s="43"/>
    </row>
    <row r="38" spans="1:5" ht="24.6" thickTop="1" thickBot="1" x14ac:dyDescent="0.35">
      <c r="A38" s="81"/>
      <c r="B38" s="50"/>
      <c r="C38" s="6" t="s">
        <v>34</v>
      </c>
      <c r="D38" s="21"/>
      <c r="E38" s="39"/>
    </row>
    <row r="39" spans="1:5" ht="24.6" thickTop="1" thickBot="1" x14ac:dyDescent="0.35">
      <c r="A39" s="81"/>
      <c r="B39" s="52"/>
      <c r="C39" s="10"/>
      <c r="D39" s="26"/>
      <c r="E39" s="39"/>
    </row>
    <row r="40" spans="1:5" ht="24.6" thickTop="1" thickBot="1" x14ac:dyDescent="0.35">
      <c r="A40" s="81"/>
      <c r="B40" s="52"/>
      <c r="C40" s="10"/>
      <c r="D40" s="26"/>
      <c r="E40" s="42"/>
    </row>
    <row r="41" spans="1:5" ht="24.6" thickTop="1" thickBot="1" x14ac:dyDescent="0.35">
      <c r="A41" s="81"/>
      <c r="B41" s="52"/>
      <c r="C41" s="10"/>
      <c r="D41" s="26"/>
      <c r="E41" s="47"/>
    </row>
    <row r="42" spans="1:5" ht="24.6" thickTop="1" thickBot="1" x14ac:dyDescent="0.35">
      <c r="A42" s="81"/>
      <c r="B42" s="52"/>
      <c r="C42" s="30"/>
      <c r="D42" s="26"/>
      <c r="E42" s="48"/>
    </row>
    <row r="43" spans="1:5" ht="24.6" thickTop="1" thickBot="1" x14ac:dyDescent="0.35">
      <c r="A43" s="81" t="s">
        <v>12</v>
      </c>
      <c r="B43" s="51"/>
      <c r="C43" s="31"/>
      <c r="D43" s="22"/>
      <c r="E43" s="40"/>
    </row>
    <row r="44" spans="1:5" ht="24.6" thickTop="1" thickBot="1" x14ac:dyDescent="0.35">
      <c r="A44" s="81"/>
      <c r="B44" s="49">
        <v>46388</v>
      </c>
      <c r="C44" s="19" t="s">
        <v>27</v>
      </c>
      <c r="D44" s="66">
        <f>'يناير 2027'!C43</f>
        <v>0</v>
      </c>
      <c r="E44" s="45"/>
    </row>
    <row r="45" spans="1:5" ht="24.6" thickTop="1" thickBot="1" x14ac:dyDescent="0.35">
      <c r="A45" s="81"/>
      <c r="B45" s="53"/>
      <c r="C45" s="17" t="s">
        <v>32</v>
      </c>
      <c r="D45" s="23">
        <f>'يناير 2027'!C16*-1</f>
        <v>0</v>
      </c>
      <c r="E45" s="46"/>
    </row>
    <row r="46" spans="1:5" ht="24.6" thickTop="1" thickBot="1" x14ac:dyDescent="0.35">
      <c r="A46" s="81"/>
      <c r="B46" s="50"/>
      <c r="C46" s="17" t="s">
        <v>35</v>
      </c>
      <c r="D46" s="23"/>
      <c r="E46" s="43"/>
    </row>
    <row r="47" spans="1:5" ht="24.6" thickTop="1" thickBot="1" x14ac:dyDescent="0.35">
      <c r="A47" s="81"/>
      <c r="B47" s="50"/>
      <c r="C47" s="17" t="s">
        <v>34</v>
      </c>
      <c r="D47" s="23"/>
      <c r="E47" s="39"/>
    </row>
    <row r="48" spans="1:5" ht="24.6" thickTop="1" thickBot="1" x14ac:dyDescent="0.35">
      <c r="A48" s="81"/>
      <c r="B48" s="52"/>
      <c r="C48" s="27"/>
      <c r="D48" s="28"/>
      <c r="E48" s="62"/>
    </row>
    <row r="49" spans="1:5" ht="24.6" thickTop="1" thickBot="1" x14ac:dyDescent="0.35">
      <c r="A49" s="81"/>
      <c r="B49" s="52"/>
      <c r="C49" s="27"/>
      <c r="D49" s="28"/>
      <c r="E49" s="39"/>
    </row>
    <row r="50" spans="1:5" ht="24.6" thickTop="1" thickBot="1" x14ac:dyDescent="0.35">
      <c r="A50" s="81"/>
      <c r="B50" s="52"/>
      <c r="C50" s="27"/>
      <c r="D50" s="28"/>
      <c r="E50" s="47"/>
    </row>
    <row r="51" spans="1:5" ht="24.6" thickTop="1" thickBot="1" x14ac:dyDescent="0.35">
      <c r="A51" s="81"/>
      <c r="B51" s="52"/>
      <c r="C51" s="32"/>
      <c r="D51" s="28"/>
      <c r="E51" s="48"/>
    </row>
    <row r="52" spans="1:5" ht="24.6" thickTop="1" thickBot="1" x14ac:dyDescent="0.35">
      <c r="A52" s="81" t="s">
        <v>13</v>
      </c>
      <c r="B52" s="51"/>
      <c r="C52" s="33"/>
      <c r="D52" s="24"/>
      <c r="E52" s="40"/>
    </row>
    <row r="53" spans="1:5" ht="24.6" thickTop="1" thickBot="1" x14ac:dyDescent="0.35">
      <c r="A53" s="81"/>
      <c r="B53" s="49">
        <v>46419</v>
      </c>
      <c r="C53" s="18" t="s">
        <v>27</v>
      </c>
      <c r="D53" s="65">
        <f>'فبراير 2027'!C43</f>
        <v>0</v>
      </c>
      <c r="E53" s="45"/>
    </row>
    <row r="54" spans="1:5" ht="24.6" thickTop="1" thickBot="1" x14ac:dyDescent="0.35">
      <c r="A54" s="81"/>
      <c r="B54" s="53"/>
      <c r="C54" s="6" t="s">
        <v>32</v>
      </c>
      <c r="D54" s="21">
        <f>'فبراير 2027'!C16*-1</f>
        <v>0</v>
      </c>
      <c r="E54" s="46"/>
    </row>
    <row r="55" spans="1:5" ht="24.6" thickTop="1" thickBot="1" x14ac:dyDescent="0.35">
      <c r="A55" s="81"/>
      <c r="B55" s="50"/>
      <c r="C55" s="6" t="s">
        <v>35</v>
      </c>
      <c r="D55" s="21"/>
      <c r="E55" s="43"/>
    </row>
    <row r="56" spans="1:5" ht="24.6" thickTop="1" thickBot="1" x14ac:dyDescent="0.35">
      <c r="A56" s="81"/>
      <c r="B56" s="50"/>
      <c r="C56" s="6" t="s">
        <v>34</v>
      </c>
      <c r="D56" s="21"/>
      <c r="E56" s="39"/>
    </row>
    <row r="57" spans="1:5" ht="24.6" thickTop="1" thickBot="1" x14ac:dyDescent="0.35">
      <c r="A57" s="81"/>
      <c r="B57" s="52"/>
      <c r="C57" s="10"/>
      <c r="D57" s="26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47"/>
    </row>
    <row r="60" spans="1:5" ht="24.6" thickTop="1" thickBot="1" x14ac:dyDescent="0.35">
      <c r="A60" s="81"/>
      <c r="B60" s="52"/>
      <c r="C60" s="30"/>
      <c r="D60" s="26"/>
      <c r="E60" s="48"/>
    </row>
    <row r="61" spans="1:5" ht="24.6" thickTop="1" thickBot="1" x14ac:dyDescent="0.35">
      <c r="A61" s="81" t="s">
        <v>14</v>
      </c>
      <c r="B61" s="51"/>
      <c r="C61" s="31"/>
      <c r="D61" s="22"/>
      <c r="E61" s="40"/>
    </row>
    <row r="62" spans="1:5" ht="24.6" thickTop="1" thickBot="1" x14ac:dyDescent="0.35">
      <c r="A62" s="81"/>
      <c r="B62" s="49">
        <v>46447</v>
      </c>
      <c r="C62" s="19" t="s">
        <v>27</v>
      </c>
      <c r="D62" s="66">
        <f>'مارس 2027'!C43</f>
        <v>0</v>
      </c>
      <c r="E62" s="63"/>
    </row>
    <row r="63" spans="1:5" ht="24.6" thickTop="1" thickBot="1" x14ac:dyDescent="0.35">
      <c r="A63" s="81"/>
      <c r="B63" s="53"/>
      <c r="C63" s="17" t="s">
        <v>32</v>
      </c>
      <c r="D63" s="23">
        <f>'مارس 2027'!C16*-1</f>
        <v>0</v>
      </c>
      <c r="E63" s="46"/>
    </row>
    <row r="64" spans="1:5" ht="24.6" thickTop="1" thickBot="1" x14ac:dyDescent="0.35">
      <c r="A64" s="81"/>
      <c r="B64" s="50"/>
      <c r="C64" s="17" t="s">
        <v>35</v>
      </c>
      <c r="D64" s="23"/>
      <c r="E64" s="43"/>
    </row>
    <row r="65" spans="1:5" ht="24.6" thickTop="1" thickBot="1" x14ac:dyDescent="0.35">
      <c r="A65" s="81"/>
      <c r="B65" s="50"/>
      <c r="C65" s="17" t="s">
        <v>34</v>
      </c>
      <c r="D65" s="23"/>
      <c r="E65" s="39"/>
    </row>
    <row r="66" spans="1:5" ht="24.6" thickTop="1" thickBot="1" x14ac:dyDescent="0.35">
      <c r="A66" s="81"/>
      <c r="B66" s="52"/>
      <c r="C66" s="27"/>
      <c r="D66" s="28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47"/>
    </row>
    <row r="70" spans="1:5" ht="24.6" thickTop="1" thickBot="1" x14ac:dyDescent="0.35">
      <c r="A70" s="81"/>
      <c r="B70" s="52"/>
      <c r="C70" s="32"/>
      <c r="D70" s="28"/>
      <c r="E70" s="48"/>
    </row>
    <row r="71" spans="1:5" ht="24.6" thickTop="1" thickBot="1" x14ac:dyDescent="0.35">
      <c r="A71" s="81" t="s">
        <v>15</v>
      </c>
      <c r="B71" s="51"/>
      <c r="C71" s="33"/>
      <c r="D71" s="24"/>
      <c r="E71" s="40"/>
    </row>
    <row r="72" spans="1:5" ht="24.6" thickTop="1" thickBot="1" x14ac:dyDescent="0.35">
      <c r="A72" s="81"/>
      <c r="B72" s="49">
        <v>46478</v>
      </c>
      <c r="C72" s="18" t="s">
        <v>27</v>
      </c>
      <c r="D72" s="65">
        <f>'أبريل 2027'!C43</f>
        <v>0</v>
      </c>
      <c r="E72" s="45"/>
    </row>
    <row r="73" spans="1:5" ht="24.6" thickTop="1" thickBot="1" x14ac:dyDescent="0.35">
      <c r="A73" s="81"/>
      <c r="B73" s="53"/>
      <c r="C73" s="6" t="s">
        <v>32</v>
      </c>
      <c r="D73" s="21">
        <f>'أبريل 2027'!C16*-1</f>
        <v>0</v>
      </c>
      <c r="E73" s="46"/>
    </row>
    <row r="74" spans="1:5" ht="24.6" thickTop="1" thickBot="1" x14ac:dyDescent="0.35">
      <c r="A74" s="81"/>
      <c r="B74" s="50"/>
      <c r="C74" s="6" t="s">
        <v>35</v>
      </c>
      <c r="D74" s="21"/>
      <c r="E74" s="43"/>
    </row>
    <row r="75" spans="1:5" ht="24.6" thickTop="1" thickBot="1" x14ac:dyDescent="0.35">
      <c r="A75" s="81"/>
      <c r="B75" s="50"/>
      <c r="C75" s="6" t="s">
        <v>34</v>
      </c>
      <c r="D75" s="21"/>
      <c r="E75" s="39"/>
    </row>
    <row r="76" spans="1:5" ht="24.6" thickTop="1" thickBot="1" x14ac:dyDescent="0.35">
      <c r="A76" s="81"/>
      <c r="B76" s="52"/>
      <c r="C76" s="10"/>
      <c r="D76" s="26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47"/>
    </row>
    <row r="80" spans="1:5" ht="24.6" thickTop="1" thickBot="1" x14ac:dyDescent="0.35">
      <c r="A80" s="81"/>
      <c r="B80" s="52"/>
      <c r="C80" s="30"/>
      <c r="D80" s="26"/>
      <c r="E80" s="48"/>
    </row>
    <row r="81" spans="1:5" ht="24.6" thickTop="1" thickBot="1" x14ac:dyDescent="0.35">
      <c r="A81" s="81" t="s">
        <v>16</v>
      </c>
      <c r="B81" s="51"/>
      <c r="C81" s="31"/>
      <c r="D81" s="22"/>
      <c r="E81" s="40"/>
    </row>
    <row r="82" spans="1:5" ht="24.6" thickTop="1" thickBot="1" x14ac:dyDescent="0.35">
      <c r="A82" s="81"/>
      <c r="B82" s="49">
        <v>46508</v>
      </c>
      <c r="C82" s="19" t="s">
        <v>27</v>
      </c>
      <c r="D82" s="66">
        <f>'مارس 2027'!C43</f>
        <v>0</v>
      </c>
      <c r="E82" s="45"/>
    </row>
    <row r="83" spans="1:5" ht="24.6" thickTop="1" thickBot="1" x14ac:dyDescent="0.35">
      <c r="A83" s="81"/>
      <c r="B83" s="53"/>
      <c r="C83" s="17" t="s">
        <v>32</v>
      </c>
      <c r="D83" s="23">
        <f>'مارس 2027'!C16*-1</f>
        <v>0</v>
      </c>
      <c r="E83" s="46"/>
    </row>
    <row r="84" spans="1:5" ht="24.6" thickTop="1" thickBot="1" x14ac:dyDescent="0.35">
      <c r="A84" s="81"/>
      <c r="B84" s="50"/>
      <c r="C84" s="17" t="s">
        <v>35</v>
      </c>
      <c r="D84" s="23"/>
      <c r="E84" s="43"/>
    </row>
    <row r="85" spans="1:5" ht="24.6" thickTop="1" thickBot="1" x14ac:dyDescent="0.35">
      <c r="A85" s="81"/>
      <c r="B85" s="50"/>
      <c r="C85" s="17" t="s">
        <v>34</v>
      </c>
      <c r="D85" s="23"/>
      <c r="E85" s="39"/>
    </row>
    <row r="86" spans="1:5" ht="24.6" thickTop="1" thickBot="1" x14ac:dyDescent="0.35">
      <c r="A86" s="81"/>
      <c r="B86" s="52"/>
      <c r="C86" s="27"/>
      <c r="D86" s="28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47"/>
    </row>
    <row r="89" spans="1:5" ht="24.6" thickTop="1" thickBot="1" x14ac:dyDescent="0.35">
      <c r="A89" s="81"/>
      <c r="B89" s="52"/>
      <c r="C89" s="32"/>
      <c r="D89" s="28"/>
      <c r="E89" s="48"/>
    </row>
    <row r="90" spans="1:5" ht="24.6" thickTop="1" thickBot="1" x14ac:dyDescent="0.35">
      <c r="A90" s="81" t="s">
        <v>17</v>
      </c>
      <c r="B90" s="51"/>
      <c r="C90" s="33"/>
      <c r="D90" s="24"/>
      <c r="E90" s="40"/>
    </row>
    <row r="91" spans="1:5" ht="24.6" thickTop="1" thickBot="1" x14ac:dyDescent="0.35">
      <c r="A91" s="81"/>
      <c r="B91" s="49">
        <v>46539</v>
      </c>
      <c r="C91" s="18" t="s">
        <v>27</v>
      </c>
      <c r="D91" s="65">
        <f>'يونيو 2027'!C43</f>
        <v>0</v>
      </c>
      <c r="E91" s="45"/>
    </row>
    <row r="92" spans="1:5" ht="24.6" thickTop="1" thickBot="1" x14ac:dyDescent="0.35">
      <c r="A92" s="81"/>
      <c r="B92" s="53"/>
      <c r="C92" s="6" t="s">
        <v>32</v>
      </c>
      <c r="D92" s="21">
        <f>'يونيو 2027'!C16*-1</f>
        <v>0</v>
      </c>
      <c r="E92" s="46"/>
    </row>
    <row r="93" spans="1:5" ht="24.6" thickTop="1" thickBot="1" x14ac:dyDescent="0.35">
      <c r="A93" s="81"/>
      <c r="B93" s="50"/>
      <c r="C93" s="6" t="s">
        <v>35</v>
      </c>
      <c r="D93" s="21"/>
      <c r="E93" s="43"/>
    </row>
    <row r="94" spans="1:5" ht="24.6" thickTop="1" thickBot="1" x14ac:dyDescent="0.35">
      <c r="A94" s="81"/>
      <c r="B94" s="50"/>
      <c r="C94" s="6" t="s">
        <v>34</v>
      </c>
      <c r="D94" s="21"/>
      <c r="E94" s="39"/>
    </row>
    <row r="95" spans="1:5" ht="24.6" thickTop="1" thickBot="1" x14ac:dyDescent="0.35">
      <c r="A95" s="81"/>
      <c r="B95" s="52"/>
      <c r="C95" s="10"/>
      <c r="D95" s="26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47"/>
    </row>
    <row r="98" spans="1:5" ht="24.6" thickTop="1" thickBot="1" x14ac:dyDescent="0.35">
      <c r="A98" s="81"/>
      <c r="B98" s="52"/>
      <c r="C98" s="30"/>
      <c r="D98" s="26"/>
      <c r="E98" s="48"/>
    </row>
    <row r="99" spans="1:5" ht="24.6" thickTop="1" thickBot="1" x14ac:dyDescent="0.35">
      <c r="A99" s="81" t="s">
        <v>18</v>
      </c>
      <c r="B99" s="51"/>
      <c r="C99" s="31"/>
      <c r="D99" s="22"/>
      <c r="E99" s="40"/>
    </row>
    <row r="100" spans="1:5" ht="24.6" thickTop="1" thickBot="1" x14ac:dyDescent="0.35">
      <c r="A100" s="81"/>
      <c r="B100" s="49">
        <v>46569</v>
      </c>
      <c r="C100" s="19" t="s">
        <v>27</v>
      </c>
      <c r="D100" s="66">
        <f>'يوليو 2027'!C43</f>
        <v>0</v>
      </c>
      <c r="E100" s="45"/>
    </row>
    <row r="101" spans="1:5" ht="24.6" thickTop="1" thickBot="1" x14ac:dyDescent="0.35">
      <c r="A101" s="81"/>
      <c r="B101" s="53"/>
      <c r="C101" s="17" t="s">
        <v>32</v>
      </c>
      <c r="D101" s="23">
        <f>'يوليو 2027'!C16*-1</f>
        <v>0</v>
      </c>
      <c r="E101" s="46"/>
    </row>
    <row r="102" spans="1:5" ht="24.6" thickTop="1" thickBot="1" x14ac:dyDescent="0.35">
      <c r="A102" s="81"/>
      <c r="B102" s="50"/>
      <c r="C102" s="17" t="s">
        <v>35</v>
      </c>
      <c r="D102" s="23"/>
      <c r="E102" s="43"/>
    </row>
    <row r="103" spans="1:5" ht="24.6" thickTop="1" thickBot="1" x14ac:dyDescent="0.35">
      <c r="A103" s="81"/>
      <c r="B103" s="50"/>
      <c r="C103" s="17" t="s">
        <v>34</v>
      </c>
      <c r="D103" s="23"/>
      <c r="E103" s="39"/>
    </row>
    <row r="104" spans="1:5" ht="24.6" thickTop="1" thickBot="1" x14ac:dyDescent="0.35">
      <c r="A104" s="81"/>
      <c r="B104" s="52"/>
      <c r="C104" s="27"/>
      <c r="D104" s="28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47"/>
    </row>
    <row r="107" spans="1:5" ht="24.6" thickTop="1" thickBot="1" x14ac:dyDescent="0.35">
      <c r="A107" s="85"/>
      <c r="B107" s="52"/>
      <c r="C107" s="32"/>
      <c r="D107" s="28"/>
      <c r="E107" s="39"/>
    </row>
    <row r="108" spans="1:5" ht="24.6" thickTop="1" thickBot="1" x14ac:dyDescent="0.35">
      <c r="A108" s="81" t="s">
        <v>19</v>
      </c>
      <c r="B108" s="51"/>
      <c r="C108" s="33"/>
      <c r="D108" s="24"/>
      <c r="E108" s="40"/>
    </row>
    <row r="109" spans="1:5" ht="24.6" thickTop="1" thickBot="1" x14ac:dyDescent="0.35">
      <c r="A109" s="81"/>
      <c r="B109" s="49">
        <v>46600</v>
      </c>
      <c r="C109" s="18" t="s">
        <v>27</v>
      </c>
      <c r="D109" s="65">
        <f>'أغسطس 2027'!C43</f>
        <v>0</v>
      </c>
      <c r="E109" s="45"/>
    </row>
    <row r="110" spans="1:5" ht="24.6" thickTop="1" thickBot="1" x14ac:dyDescent="0.35">
      <c r="A110" s="81"/>
      <c r="B110" s="53"/>
      <c r="C110" s="6" t="s">
        <v>32</v>
      </c>
      <c r="D110" s="21">
        <f>'أغسطس 2027'!C16*-1</f>
        <v>0</v>
      </c>
      <c r="E110" s="46"/>
    </row>
    <row r="111" spans="1:5" ht="24.6" thickTop="1" thickBot="1" x14ac:dyDescent="0.35">
      <c r="A111" s="81"/>
      <c r="B111" s="50"/>
      <c r="C111" s="6" t="s">
        <v>35</v>
      </c>
      <c r="D111" s="21"/>
      <c r="E111" s="43"/>
    </row>
    <row r="112" spans="1:5" ht="24.6" thickTop="1" thickBot="1" x14ac:dyDescent="0.35">
      <c r="A112" s="81"/>
      <c r="B112" s="50"/>
      <c r="C112" s="6" t="s">
        <v>34</v>
      </c>
      <c r="D112" s="21"/>
      <c r="E112" s="39"/>
    </row>
    <row r="113" spans="1:5" ht="24.6" thickTop="1" thickBot="1" x14ac:dyDescent="0.35">
      <c r="A113" s="81"/>
      <c r="B113" s="52"/>
      <c r="C113" s="10"/>
      <c r="D113" s="26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30</v>
      </c>
      <c r="D122" s="25"/>
    </row>
    <row r="123" spans="1:5" ht="24.6" thickTop="1" thickBot="1" x14ac:dyDescent="0.35">
      <c r="B123" s="37">
        <v>46257</v>
      </c>
      <c r="D123" s="25"/>
    </row>
    <row r="124" spans="1:5" ht="24.6" thickTop="1" thickBot="1" x14ac:dyDescent="0.35">
      <c r="B124" s="56" t="s">
        <v>33</v>
      </c>
      <c r="D124" s="25"/>
    </row>
    <row r="125" spans="1:5" ht="24.6" thickTop="1" thickBot="1" x14ac:dyDescent="0.35">
      <c r="B125" s="56">
        <v>46621</v>
      </c>
      <c r="D125" s="25"/>
    </row>
    <row r="126" spans="1:5" ht="24.6" thickTop="1" thickBot="1" x14ac:dyDescent="0.35">
      <c r="D126" s="34" t="s">
        <v>28</v>
      </c>
    </row>
    <row r="127" spans="1:5" ht="24.6" thickTop="1" thickBot="1" x14ac:dyDescent="0.5">
      <c r="C127" s="4"/>
      <c r="D127" s="34">
        <f>SUM(D4:D118)</f>
        <v>1497.4299999999998</v>
      </c>
    </row>
  </sheetData>
  <mergeCells count="14">
    <mergeCell ref="A34:A42"/>
    <mergeCell ref="A1:E1"/>
    <mergeCell ref="A4:A10"/>
    <mergeCell ref="A11:A17"/>
    <mergeCell ref="A18:A25"/>
    <mergeCell ref="A26:A33"/>
    <mergeCell ref="A99:A107"/>
    <mergeCell ref="A108:A116"/>
    <mergeCell ref="A43:A51"/>
    <mergeCell ref="A52:A60"/>
    <mergeCell ref="A61:A70"/>
    <mergeCell ref="A71:A80"/>
    <mergeCell ref="A81:A89"/>
    <mergeCell ref="A90:A98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abSelected="1" topLeftCell="A10" workbookViewId="0">
      <selection activeCell="D21" sqref="D21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5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5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5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5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5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5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5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5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5">
        <v>46259</v>
      </c>
      <c r="B17" s="3" t="s">
        <v>47</v>
      </c>
      <c r="C17" s="11">
        <v>995</v>
      </c>
      <c r="D17" s="7" t="s">
        <v>26</v>
      </c>
    </row>
    <row r="18" spans="1:4" ht="23.4" x14ac:dyDescent="0.3">
      <c r="A18" s="35">
        <v>46281</v>
      </c>
      <c r="B18" s="3" t="s">
        <v>48</v>
      </c>
      <c r="C18" s="11">
        <v>150</v>
      </c>
      <c r="D18" s="7" t="s">
        <v>26</v>
      </c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5"/>
      <c r="B21" s="3"/>
      <c r="C21" s="11"/>
      <c r="D21" s="7"/>
    </row>
    <row r="22" spans="1:4" ht="23.4" x14ac:dyDescent="0.3">
      <c r="A22" s="36"/>
      <c r="B22" s="10" t="s">
        <v>23</v>
      </c>
      <c r="C22" s="16">
        <f>SUM(C8:C21)</f>
        <v>5722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74" t="s">
        <v>2</v>
      </c>
    </row>
    <row r="28" spans="1:4" ht="24" thickTop="1" x14ac:dyDescent="0.3">
      <c r="A28" s="75"/>
    </row>
    <row r="29" spans="1:4" ht="23.4" x14ac:dyDescent="0.3">
      <c r="A29" s="57" t="s">
        <v>3</v>
      </c>
      <c r="B29" s="8" t="s">
        <v>4</v>
      </c>
      <c r="C29" s="58" t="s">
        <v>5</v>
      </c>
      <c r="D29" s="59" t="s">
        <v>6</v>
      </c>
    </row>
    <row r="30" spans="1:4" ht="23.4" x14ac:dyDescent="0.3">
      <c r="A30" s="35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5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5"/>
      <c r="B37" s="3"/>
      <c r="C37" s="11"/>
      <c r="D37" s="7"/>
    </row>
    <row r="38" spans="1:4" ht="23.4" x14ac:dyDescent="0.3">
      <c r="A38" s="36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5738.86</v>
      </c>
    </row>
    <row r="49" spans="2:3" ht="23.4" x14ac:dyDescent="0.3">
      <c r="B49" s="20" t="s">
        <v>25</v>
      </c>
      <c r="C49" s="14">
        <f>C48/2</f>
        <v>2869.43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2026-09-17T06:04:09Z</dcterms:modified>
  <cp:category/>
  <cp:contentStatus/>
</cp:coreProperties>
</file>