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Money Loan 2026\Tabuk\"/>
    </mc:Choice>
  </mc:AlternateContent>
  <xr:revisionPtr revIDLastSave="0" documentId="13_ncr:1_{502F7FCF-917F-4D44-9D79-817BEFB7E7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حسين المغلق" sheetId="15" r:id="rId1"/>
    <sheet name="محمد قريش" sheetId="39" r:id="rId2"/>
    <sheet name="أغسطس 2026" sheetId="26" r:id="rId3"/>
    <sheet name="سبتمبر 2026" sheetId="27" r:id="rId4"/>
    <sheet name="أكتوبر 2026" sheetId="28" r:id="rId5"/>
    <sheet name="نوفمبر 2026" sheetId="29" r:id="rId6"/>
    <sheet name="ديسمبر 2026" sheetId="30" r:id="rId7"/>
    <sheet name="يناير 2027" sheetId="31" r:id="rId8"/>
    <sheet name="فبراير 2027" sheetId="32" r:id="rId9"/>
    <sheet name="مارس 2027" sheetId="33" r:id="rId10"/>
    <sheet name="أبريل 2027" sheetId="34" r:id="rId11"/>
    <sheet name="مايو 2027" sheetId="35" r:id="rId12"/>
    <sheet name="يونيو 2027" sheetId="36" r:id="rId13"/>
    <sheet name="يوليو 2027" sheetId="37" r:id="rId14"/>
    <sheet name="أغسطس 2027" sheetId="38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0" i="39" l="1"/>
  <c r="D101" i="39"/>
  <c r="D92" i="39"/>
  <c r="D83" i="39"/>
  <c r="D73" i="39"/>
  <c r="D63" i="39"/>
  <c r="D54" i="39"/>
  <c r="D45" i="39"/>
  <c r="D36" i="39"/>
  <c r="D28" i="39"/>
  <c r="D20" i="39"/>
  <c r="D12" i="39"/>
  <c r="D5" i="39"/>
  <c r="D109" i="39"/>
  <c r="D100" i="39"/>
  <c r="D91" i="39"/>
  <c r="D82" i="39"/>
  <c r="D72" i="39"/>
  <c r="D62" i="39"/>
  <c r="D53" i="39"/>
  <c r="D44" i="39"/>
  <c r="D35" i="39"/>
  <c r="D27" i="39"/>
  <c r="D19" i="39"/>
  <c r="D11" i="39"/>
  <c r="D4" i="39"/>
  <c r="D63" i="15"/>
  <c r="C32" i="38"/>
  <c r="D110" i="15" s="1"/>
  <c r="C16" i="38"/>
  <c r="C42" i="38" s="1"/>
  <c r="C43" i="38" s="1"/>
  <c r="D109" i="15" s="1"/>
  <c r="C32" i="37"/>
  <c r="D101" i="15" s="1"/>
  <c r="C16" i="37"/>
  <c r="C32" i="36"/>
  <c r="D92" i="15" s="1"/>
  <c r="C16" i="36"/>
  <c r="C42" i="36" s="1"/>
  <c r="C43" i="36" s="1"/>
  <c r="D91" i="15" s="1"/>
  <c r="C32" i="35"/>
  <c r="C16" i="35"/>
  <c r="C42" i="35" s="1"/>
  <c r="C43" i="35" s="1"/>
  <c r="C32" i="34"/>
  <c r="D73" i="15" s="1"/>
  <c r="C16" i="34"/>
  <c r="C32" i="33"/>
  <c r="D83" i="15" s="1"/>
  <c r="C16" i="33"/>
  <c r="C42" i="33" s="1"/>
  <c r="C43" i="33" s="1"/>
  <c r="D82" i="15" s="1"/>
  <c r="C32" i="32"/>
  <c r="D54" i="15" s="1"/>
  <c r="C16" i="32"/>
  <c r="C32" i="31"/>
  <c r="D45" i="15" s="1"/>
  <c r="C16" i="31"/>
  <c r="C32" i="30"/>
  <c r="D36" i="15" s="1"/>
  <c r="C16" i="30"/>
  <c r="C42" i="30" s="1"/>
  <c r="C43" i="30" s="1"/>
  <c r="D35" i="15" s="1"/>
  <c r="C32" i="29"/>
  <c r="D28" i="15" s="1"/>
  <c r="C16" i="29"/>
  <c r="C42" i="29" s="1"/>
  <c r="C43" i="29" s="1"/>
  <c r="D27" i="15" s="1"/>
  <c r="C32" i="28"/>
  <c r="D20" i="15" s="1"/>
  <c r="C16" i="28"/>
  <c r="C32" i="27"/>
  <c r="D12" i="15" s="1"/>
  <c r="C16" i="27"/>
  <c r="C42" i="27" s="1"/>
  <c r="C43" i="27" s="1"/>
  <c r="D11" i="15" s="1"/>
  <c r="C16" i="26"/>
  <c r="C32" i="26"/>
  <c r="D5" i="15" s="1"/>
  <c r="D127" i="39" l="1"/>
  <c r="C42" i="34"/>
  <c r="C43" i="34" s="1"/>
  <c r="D72" i="15" s="1"/>
  <c r="C42" i="32"/>
  <c r="C43" i="32" s="1"/>
  <c r="D53" i="15" s="1"/>
  <c r="C42" i="28"/>
  <c r="C43" i="28" s="1"/>
  <c r="D19" i="15" s="1"/>
  <c r="C42" i="37"/>
  <c r="C43" i="37" s="1"/>
  <c r="D100" i="15" s="1"/>
  <c r="D62" i="15"/>
  <c r="C42" i="31"/>
  <c r="C43" i="31" s="1"/>
  <c r="D44" i="15" s="1"/>
  <c r="C42" i="26"/>
  <c r="C43" i="26" s="1"/>
  <c r="D4" i="15" l="1"/>
  <c r="D127" i="15" s="1"/>
</calcChain>
</file>

<file path=xl/sharedStrings.xml><?xml version="1.0" encoding="utf-8"?>
<sst xmlns="http://schemas.openxmlformats.org/spreadsheetml/2006/main" count="334" uniqueCount="36">
  <si>
    <t>أجار الشقة - من 21 أغسطس 2026</t>
  </si>
  <si>
    <t>المبالغ على حسين المغلق</t>
  </si>
  <si>
    <t>مدفوعات محمد قريش</t>
  </si>
  <si>
    <t>مدفوعات حسين المغلق</t>
  </si>
  <si>
    <t>التاريخ</t>
  </si>
  <si>
    <t>الوصف</t>
  </si>
  <si>
    <t>المبلغ</t>
  </si>
  <si>
    <t>دفع بواسطة</t>
  </si>
  <si>
    <t>أغسطس 2026</t>
  </si>
  <si>
    <t>سبتمبر 2026</t>
  </si>
  <si>
    <t>أكتوبر 2026</t>
  </si>
  <si>
    <t>نوفمبر 2026</t>
  </si>
  <si>
    <t>ديسمبر 2026</t>
  </si>
  <si>
    <t>يناير 2027</t>
  </si>
  <si>
    <t>فبراير 2027</t>
  </si>
  <si>
    <t>مارس 2027</t>
  </si>
  <si>
    <t>أبريل 2027</t>
  </si>
  <si>
    <t>مايو 2027</t>
  </si>
  <si>
    <t>يونيو 2027</t>
  </si>
  <si>
    <t>يوليو 2027</t>
  </si>
  <si>
    <t>أغسطس 2027</t>
  </si>
  <si>
    <t>الشهر</t>
  </si>
  <si>
    <t>مبلغ الأجار</t>
  </si>
  <si>
    <t>ملاحظات</t>
  </si>
  <si>
    <t>المجموع</t>
  </si>
  <si>
    <t>المجموع الكلي</t>
  </si>
  <si>
    <t>القطة على كل شخص (شخصين)</t>
  </si>
  <si>
    <t>محمد قريش</t>
  </si>
  <si>
    <t>المصروفات الشهرية المشتركة</t>
  </si>
  <si>
    <t>باقي المبالغ</t>
  </si>
  <si>
    <t>مبالغ مسترجعة لحسين</t>
  </si>
  <si>
    <t>مبلغ مدفوع</t>
  </si>
  <si>
    <t>بداية الأجار</t>
  </si>
  <si>
    <t>المبالغ على محمد قريش</t>
  </si>
  <si>
    <t>مبالغ مسترجعة لمحمد</t>
  </si>
  <si>
    <t>نهاية الأجار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</si>
</sst>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8808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rgb="FF000000"/>
      </bottom>
      <diagonal/>
    </border>
    <border>
      <left style="thick">
        <color auto="1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auto="1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auto="1"/>
      </left>
      <right style="medium">
        <color rgb="FF000000"/>
      </right>
      <top style="thick">
        <color rgb="FF000000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theme="4" tint="0.39997558519241921"/>
      </bottom>
      <diagonal/>
    </border>
    <border>
      <left style="thick">
        <color auto="1"/>
      </left>
      <right style="medium">
        <color rgb="FF000000"/>
      </right>
      <top/>
      <bottom style="thick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16" fontId="1" fillId="0" borderId="0" xfId="0" applyNumberFormat="1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vertical="center"/>
    </xf>
    <xf numFmtId="2" fontId="1" fillId="3" borderId="1" xfId="0" applyNumberFormat="1" applyFont="1" applyFill="1" applyBorder="1" applyAlignment="1">
      <alignment vertical="center"/>
    </xf>
    <xf numFmtId="2" fontId="0" fillId="0" borderId="0" xfId="0" applyNumberFormat="1"/>
    <xf numFmtId="2" fontId="1" fillId="5" borderId="1" xfId="0" applyNumberFormat="1" applyFont="1" applyFill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3" borderId="2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1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2" fontId="1" fillId="3" borderId="15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2" fontId="1" fillId="6" borderId="18" xfId="0" applyNumberFormat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64" fontId="1" fillId="2" borderId="2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8" borderId="5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4" borderId="21" xfId="0" applyNumberFormat="1" applyFont="1" applyFill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24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" fontId="1" fillId="3" borderId="34" xfId="0" applyNumberFormat="1" applyFont="1" applyFill="1" applyBorder="1" applyAlignment="1">
      <alignment horizontal="center" vertical="center"/>
    </xf>
    <xf numFmtId="2" fontId="1" fillId="2" borderId="34" xfId="0" applyNumberFormat="1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16" fontId="3" fillId="7" borderId="21" xfId="0" applyNumberFormat="1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7" fontId="2" fillId="4" borderId="21" xfId="0" applyNumberFormat="1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top"/>
    </xf>
    <xf numFmtId="0" fontId="1" fillId="4" borderId="21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left" vertical="top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7" fontId="1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</cellXfs>
  <cellStyles count="1">
    <cellStyle name="Normal" xfId="0" builtinId="0"/>
  </cellStyles>
  <dxfs count="2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ck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>
        <bottom style="thick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 diagonalUp="0" diagonalDown="0">
        <left style="thick">
          <color auto="1"/>
        </left>
        <right style="thick">
          <color auto="1"/>
        </right>
        <top/>
        <bottom/>
        <vertical style="thick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ck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ck">
          <color auto="1"/>
        </bottom>
      </border>
    </dxf>
    <dxf>
      <alignment horizontal="center"/>
      <border diagonalUp="0" diagonalDown="0">
        <left style="thick">
          <color auto="1"/>
        </left>
        <right style="thick">
          <color auto="1"/>
        </right>
        <top/>
        <bottom/>
        <vertical style="thick">
          <color auto="1"/>
        </vertical>
        <horizontal/>
      </border>
    </dxf>
  </dxfs>
  <tableStyles count="0" defaultTableStyle="TableStyleMedium2" defaultPivotStyle="PivotStyleLight16"/>
  <colors>
    <mruColors>
      <color rgb="FFE8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62CB9-596D-4381-97B7-62ECF583CDA2}" name="Table52" displayName="Table52" ref="B3:E8" totalsRowShown="0" headerRowDxfId="210" headerRowBorderDxfId="209" tableBorderDxfId="208" totalsRowBorderDxfId="207">
  <autoFilter ref="B3:E8" xr:uid="{3E62A328-AD6E-48B2-A699-07AB142B3434}"/>
  <tableColumns count="4">
    <tableColumn id="1" xr3:uid="{77364C36-1746-4A88-91E4-1190CDC18103}" name="التاريخ" dataDxfId="206"/>
    <tableColumn id="2" xr3:uid="{800BCA27-ECC8-4824-86BC-BE4594371626}" name="الوصف" dataDxfId="205"/>
    <tableColumn id="5" xr3:uid="{1D7B4480-1FF5-44C4-9412-95A81C1BF879}" name="مبلغ الأجار" dataDxfId="204">
      <calculatedColumnFormula>'أغسطس 2026'!C42</calculatedColumnFormula>
    </tableColumn>
    <tableColumn id="4" xr3:uid="{9A6D64BF-B8FD-4769-9BFC-76FA185D5091}" name="ملاحظات" dataDxfId="20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58B65AF-EC47-4C9F-B713-666852B1C510}" name="Table5227" displayName="Table5227" ref="B3:E8" totalsRowShown="0" headerRowDxfId="7" headerRowBorderDxfId="5" tableBorderDxfId="6" totalsRowBorderDxfId="4">
  <autoFilter ref="B3:E8" xr:uid="{3E62A328-AD6E-48B2-A699-07AB142B3434}"/>
  <tableColumns count="4">
    <tableColumn id="1" xr3:uid="{0AFC5B9A-43DF-452D-9EE6-E32FFBAD464F}" name="التاريخ" dataDxfId="3"/>
    <tableColumn id="2" xr3:uid="{E124D69E-7C7F-4A64-8592-71524EEBAEE7}" name="الوصف" dataDxfId="2"/>
    <tableColumn id="5" xr3:uid="{52B147AF-6E23-4C1E-99CF-087FEB73A02F}" name="مبلغ الأجار" dataDxfId="1">
      <calculatedColumnFormula>'أغسطس 2026'!C42</calculatedColumnFormula>
    </tableColumn>
    <tableColumn id="4" xr3:uid="{DB5E11E1-1AD2-4788-9F56-467D8698B733}" name="ملاحظات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7FADAED-E62A-4968-BFA7-E9B63B78B836}" name="Table336691218242730" displayName="Table336691218242730" ref="A23:D32" totalsRowShown="0" headerRowBorderDxfId="202" tableBorderDxfId="201" totalsRowBorderDxfId="200">
  <autoFilter ref="A23:D32" xr:uid="{6A708C44-F2F5-4584-913D-DD0A472A5F82}"/>
  <tableColumns count="4">
    <tableColumn id="1" xr3:uid="{7CFF2E1C-A49A-460E-9D75-96C7FAF585A6}" name="التاريخ" dataDxfId="199"/>
    <tableColumn id="2" xr3:uid="{DBBE7C3A-9DD4-4CEF-92F8-302E0A0CB7FD}" name="الوصف" dataDxfId="198"/>
    <tableColumn id="3" xr3:uid="{E8B6E211-200A-4365-BB3F-818CA57588D9}" name="المبلغ" dataDxfId="197">
      <calculatedColumnFormula>SUM(C8:C23)</calculatedColumnFormula>
    </tableColumn>
    <tableColumn id="4" xr3:uid="{D0796C86-173C-40C5-8DE1-CEB31FF35A1C}" name="دفع بواسطة" dataDxfId="19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F9903E5-EFF2-43DA-99F2-97B9FF8B2610}" name="Table4377101319252831" displayName="Table4377101319252831" ref="A7:D16" totalsRowShown="0" headerRowDxfId="195" headerRowBorderDxfId="194" tableBorderDxfId="193" totalsRowBorderDxfId="192">
  <autoFilter ref="A7:D16" xr:uid="{80463B2B-140C-4BDB-8DD5-F6096215EFE7}"/>
  <tableColumns count="4">
    <tableColumn id="1" xr3:uid="{AD4A8155-6689-47BA-B9D9-19AC8BEA4910}" name="التاريخ" dataDxfId="191"/>
    <tableColumn id="2" xr3:uid="{F5FB4B0C-F432-4F80-8182-353140D7D37F}" name="الوصف" dataDxfId="190"/>
    <tableColumn id="3" xr3:uid="{E19F247C-7FD5-4806-B92F-AEDA88AF36BE}" name="المبلغ" dataDxfId="189"/>
    <tableColumn id="4" xr3:uid="{18E9AFE3-5BF0-4025-A991-7624AE9448D2}" name="دفع بواسطة" dataDxfId="18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E99DD9-BA3B-40E6-BE9F-B9339F40742E}" name="Table3366912182427303" displayName="Table3366912182427303" ref="A23:D32" totalsRowShown="0" headerRowBorderDxfId="187" tableBorderDxfId="186" totalsRowBorderDxfId="185">
  <autoFilter ref="A23:D32" xr:uid="{6A708C44-F2F5-4584-913D-DD0A472A5F82}"/>
  <tableColumns count="4">
    <tableColumn id="1" xr3:uid="{269A04FE-F7F5-4A0D-A024-94A8269B0039}" name="التاريخ" dataDxfId="184"/>
    <tableColumn id="2" xr3:uid="{D46DF39A-1A41-4D46-A5C2-B9C63DE7E92E}" name="الوصف" dataDxfId="183"/>
    <tableColumn id="3" xr3:uid="{B48881C3-A5B4-4693-9945-C903E768F9FD}" name="المبلغ" dataDxfId="182">
      <calculatedColumnFormula>SUM(C8:C23)</calculatedColumnFormula>
    </tableColumn>
    <tableColumn id="4" xr3:uid="{584DB5CE-9E1F-4C82-BFD0-D22CA366243A}" name="دفع بواسطة" dataDxfId="18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CF72CB-6551-42D5-8AA3-98D4CE62A5B5}" name="Table43771013192528314" displayName="Table43771013192528314" ref="A7:D16" totalsRowShown="0" headerRowDxfId="180" headerRowBorderDxfId="179" tableBorderDxfId="178" totalsRowBorderDxfId="177">
  <autoFilter ref="A7:D16" xr:uid="{80463B2B-140C-4BDB-8DD5-F6096215EFE7}"/>
  <tableColumns count="4">
    <tableColumn id="1" xr3:uid="{81CCEA05-7668-4410-B973-BB72416A2BDF}" name="التاريخ" dataDxfId="176"/>
    <tableColumn id="2" xr3:uid="{EFBEF38F-042C-4C64-AE54-BC2D8C19622B}" name="الوصف" dataDxfId="175"/>
    <tableColumn id="3" xr3:uid="{1DF0F5A1-7CA1-4D7D-8442-9B9DA874E3FB}" name="المبلغ" dataDxfId="174"/>
    <tableColumn id="4" xr3:uid="{CA87EEE5-E5FC-41C0-83E6-ED9555980DAB}" name="دفع بواسطة" dataDxfId="17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9826FF-E89B-4BC5-B018-DC276B8361B5}" name="Table33669121824273035" displayName="Table33669121824273035" ref="A23:D32" totalsRowShown="0" headerRowBorderDxfId="172" tableBorderDxfId="171" totalsRowBorderDxfId="170">
  <autoFilter ref="A23:D32" xr:uid="{6A708C44-F2F5-4584-913D-DD0A472A5F82}"/>
  <tableColumns count="4">
    <tableColumn id="1" xr3:uid="{28CD9D4D-F51B-4774-8D82-DCDC9693E4CB}" name="التاريخ" dataDxfId="169"/>
    <tableColumn id="2" xr3:uid="{F2A7819F-4F65-4DC0-840F-83F522E73806}" name="الوصف" dataDxfId="168"/>
    <tableColumn id="3" xr3:uid="{0438420D-6A4B-49CE-A53F-969E7F4667A0}" name="المبلغ" dataDxfId="167">
      <calculatedColumnFormula>SUM(C8:C23)</calculatedColumnFormula>
    </tableColumn>
    <tableColumn id="4" xr3:uid="{967D0223-B124-4B2C-9C08-0F6D83B9B20C}" name="دفع بواسطة" dataDxfId="16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A5CF1C-34AB-4C4D-9877-1C2E9F37EC62}" name="Table437710131925283146" displayName="Table437710131925283146" ref="A7:D16" totalsRowShown="0" headerRowDxfId="165" headerRowBorderDxfId="164" tableBorderDxfId="163" totalsRowBorderDxfId="162">
  <autoFilter ref="A7:D16" xr:uid="{80463B2B-140C-4BDB-8DD5-F6096215EFE7}"/>
  <tableColumns count="4">
    <tableColumn id="1" xr3:uid="{F2BB9238-303C-446D-8573-5857899BB61C}" name="التاريخ" dataDxfId="161"/>
    <tableColumn id="2" xr3:uid="{8BAE0192-38EF-4789-9C3B-575877E4857E}" name="الوصف" dataDxfId="160"/>
    <tableColumn id="3" xr3:uid="{5B4D943A-64E1-4666-87B3-0EB42DB8431C}" name="المبلغ" dataDxfId="159"/>
    <tableColumn id="4" xr3:uid="{027D59EC-2F32-42F8-8454-9BF7EABF1C86}" name="دفع بواسطة" dataDxfId="15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E55689-0B1D-4999-B7E4-BE9787225131}" name="Table336691218242730357" displayName="Table336691218242730357" ref="A23:D32" totalsRowShown="0" headerRowBorderDxfId="157" tableBorderDxfId="156" totalsRowBorderDxfId="155">
  <autoFilter ref="A23:D32" xr:uid="{6A708C44-F2F5-4584-913D-DD0A472A5F82}"/>
  <tableColumns count="4">
    <tableColumn id="1" xr3:uid="{CCD73C04-4799-4EC2-894B-AC2F91F5ED45}" name="التاريخ" dataDxfId="154"/>
    <tableColumn id="2" xr3:uid="{B0B71752-C976-4221-ADF5-6490938262ED}" name="الوصف" dataDxfId="153"/>
    <tableColumn id="3" xr3:uid="{912B0B3D-DEF0-4600-8451-4F39336FCC1D}" name="المبلغ" dataDxfId="152">
      <calculatedColumnFormula>SUM(C8:C23)</calculatedColumnFormula>
    </tableColumn>
    <tableColumn id="4" xr3:uid="{618CDD2B-3359-4D8F-AD66-426B730206D4}" name="دفع بواسطة" dataDxfId="15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73D5B4-3484-402D-9CDA-46179FBB4F11}" name="Table4377101319252831468" displayName="Table4377101319252831468" ref="A7:D16" totalsRowShown="0" headerRowDxfId="150" headerRowBorderDxfId="149" tableBorderDxfId="148" totalsRowBorderDxfId="147">
  <autoFilter ref="A7:D16" xr:uid="{80463B2B-140C-4BDB-8DD5-F6096215EFE7}"/>
  <tableColumns count="4">
    <tableColumn id="1" xr3:uid="{76F85997-1C1C-4E52-8C2B-1E7EB4B2E557}" name="التاريخ" dataDxfId="146"/>
    <tableColumn id="2" xr3:uid="{DDB4E986-43DC-4463-B75D-5BB1E828086E}" name="الوصف" dataDxfId="145"/>
    <tableColumn id="3" xr3:uid="{160B16C7-050B-45BD-930C-BC795403AA26}" name="المبلغ" dataDxfId="144"/>
    <tableColumn id="4" xr3:uid="{638A1324-AE3B-434D-88D3-90BF717AC01F}" name="دفع بواسطة" dataDxfId="14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EE9252-CE8C-4913-B0C8-8D196085BD22}" name="Table3366912182427303579" displayName="Table3366912182427303579" ref="A23:D32" totalsRowShown="0" headerRowBorderDxfId="142" tableBorderDxfId="141" totalsRowBorderDxfId="140">
  <autoFilter ref="A23:D32" xr:uid="{6A708C44-F2F5-4584-913D-DD0A472A5F82}"/>
  <tableColumns count="4">
    <tableColumn id="1" xr3:uid="{DAB799FB-8F01-4B05-B7A4-250F0CA46D95}" name="التاريخ" dataDxfId="139"/>
    <tableColumn id="2" xr3:uid="{944EEA71-B49A-4ED6-8A15-B42F2301DA42}" name="الوصف" dataDxfId="138"/>
    <tableColumn id="3" xr3:uid="{C5CEF048-2DA8-4AFB-A5A2-AD2593EDB70A}" name="المبلغ" dataDxfId="137">
      <calculatedColumnFormula>SUM(C8:C23)</calculatedColumnFormula>
    </tableColumn>
    <tableColumn id="4" xr3:uid="{EDCB98EB-8410-478A-9180-8DC70C0E4BB4}" name="دفع بواسطة" dataDxfId="1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E4FB0E-3EF3-43DA-BEF5-23B987FE016D}" name="Table437710131925283146810" displayName="Table437710131925283146810" ref="A7:D16" totalsRowShown="0" headerRowDxfId="135" headerRowBorderDxfId="134" tableBorderDxfId="133" totalsRowBorderDxfId="132">
  <autoFilter ref="A7:D16" xr:uid="{80463B2B-140C-4BDB-8DD5-F6096215EFE7}"/>
  <tableColumns count="4">
    <tableColumn id="1" xr3:uid="{2C67BC6C-DEC4-4AA6-88BC-EEE6D573E87F}" name="التاريخ" dataDxfId="131"/>
    <tableColumn id="2" xr3:uid="{2E00C5D6-9A43-44A9-ACA8-D2FF31DFCA13}" name="الوصف" dataDxfId="130"/>
    <tableColumn id="3" xr3:uid="{1C9ECEC4-1DA5-46FB-BFC8-203D1E7AB715}" name="المبلغ" dataDxfId="129"/>
    <tableColumn id="4" xr3:uid="{3A725AA6-0049-4DEB-B01C-658E6858BC6A}" name="دفع بواسطة" dataDxfId="12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A638F3-F00C-495A-AE23-4574C855129F}" name="Table336691218242730357911" displayName="Table336691218242730357911" ref="A23:D32" totalsRowShown="0" headerRowBorderDxfId="127" tableBorderDxfId="126" totalsRowBorderDxfId="125">
  <autoFilter ref="A23:D32" xr:uid="{6A708C44-F2F5-4584-913D-DD0A472A5F82}"/>
  <tableColumns count="4">
    <tableColumn id="1" xr3:uid="{ACC2E486-C9D8-4B8F-87FF-5BD56A5C54BD}" name="التاريخ" dataDxfId="124"/>
    <tableColumn id="2" xr3:uid="{17702E0C-9BDA-4AE9-A93A-C86F62BBF6D3}" name="الوصف" dataDxfId="123"/>
    <tableColumn id="3" xr3:uid="{F67D9643-5AB0-4652-89F4-6B5842136D7B}" name="المبلغ" dataDxfId="122">
      <calculatedColumnFormula>SUM(C8:C23)</calculatedColumnFormula>
    </tableColumn>
    <tableColumn id="4" xr3:uid="{8DA458A0-E9DB-49B5-A75E-5648942CBEB1}" name="دفع بواسطة" dataDxfId="12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7747AE-7B96-4980-898A-4D48612953C6}" name="Table43771013192528314681012" displayName="Table43771013192528314681012" ref="A7:D16" totalsRowShown="0" headerRowDxfId="120" headerRowBorderDxfId="119" tableBorderDxfId="118" totalsRowBorderDxfId="117">
  <autoFilter ref="A7:D16" xr:uid="{80463B2B-140C-4BDB-8DD5-F6096215EFE7}"/>
  <tableColumns count="4">
    <tableColumn id="1" xr3:uid="{6C61BAC1-A307-4F5B-9601-F0D6059DD463}" name="التاريخ" dataDxfId="116"/>
    <tableColumn id="2" xr3:uid="{4DFEC561-5CCE-4E1D-8303-0BC3D8E30AA3}" name="الوصف" dataDxfId="115"/>
    <tableColumn id="3" xr3:uid="{67DB2FA2-339F-4662-9876-621EA14E57D1}" name="المبلغ" dataDxfId="114"/>
    <tableColumn id="4" xr3:uid="{3D53913B-DEDF-478B-B01A-C4F1DBF13DA4}" name="دفع بواسطة" dataDxfId="11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F7E71FE-BC22-4499-988A-42907B8BFCF9}" name="Table33669121824273035791113" displayName="Table33669121824273035791113" ref="A23:D32" totalsRowShown="0" headerRowBorderDxfId="112" tableBorderDxfId="111" totalsRowBorderDxfId="110">
  <autoFilter ref="A23:D32" xr:uid="{6A708C44-F2F5-4584-913D-DD0A472A5F82}"/>
  <tableColumns count="4">
    <tableColumn id="1" xr3:uid="{53E8BE41-79A2-4B53-9192-70D63BC267BB}" name="التاريخ" dataDxfId="109"/>
    <tableColumn id="2" xr3:uid="{9408CEF0-5492-4158-AA68-D8285580FBE6}" name="الوصف" dataDxfId="108"/>
    <tableColumn id="3" xr3:uid="{654CEE23-D44D-42C5-96E1-801173988DCB}" name="المبلغ" dataDxfId="107">
      <calculatedColumnFormula>SUM(C8:C23)</calculatedColumnFormula>
    </tableColumn>
    <tableColumn id="4" xr3:uid="{E5C71644-41C6-4C6A-AC7A-CCCB04178ED8}" name="دفع بواسطة" dataDxfId="10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1D4585A-8A16-4B16-8415-37CB3AD7F642}" name="Table4377101319252831468101214" displayName="Table4377101319252831468101214" ref="A7:D16" totalsRowShown="0" headerRowDxfId="105" headerRowBorderDxfId="104" tableBorderDxfId="103" totalsRowBorderDxfId="102">
  <autoFilter ref="A7:D16" xr:uid="{80463B2B-140C-4BDB-8DD5-F6096215EFE7}"/>
  <tableColumns count="4">
    <tableColumn id="1" xr3:uid="{D80C6AC2-5612-4E92-A158-998DE8C071F5}" name="التاريخ" dataDxfId="101"/>
    <tableColumn id="2" xr3:uid="{717F55B7-5E11-434D-8FAE-396BFCB44BBC}" name="الوصف" dataDxfId="100"/>
    <tableColumn id="3" xr3:uid="{C56FE5E6-05B9-4AAA-8799-25BE062A3BC7}" name="المبلغ" dataDxfId="99"/>
    <tableColumn id="4" xr3:uid="{85408A9F-A30A-4B93-8702-80359290DA6B}" name="دفع بواسطة" dataDxfId="9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3D4C18-2306-41D0-AA3E-91A1DA859EA9}" name="Table3366912182427303579111315" displayName="Table3366912182427303579111315" ref="A23:D32" totalsRowShown="0" headerRowBorderDxfId="97" tableBorderDxfId="96" totalsRowBorderDxfId="95">
  <autoFilter ref="A23:D32" xr:uid="{6A708C44-F2F5-4584-913D-DD0A472A5F82}"/>
  <tableColumns count="4">
    <tableColumn id="1" xr3:uid="{D7B10DA0-7726-44CD-A561-879DBDE89864}" name="التاريخ" dataDxfId="94"/>
    <tableColumn id="2" xr3:uid="{7B5236A9-3818-42AC-9FA8-6847FEBC6768}" name="الوصف" dataDxfId="93"/>
    <tableColumn id="3" xr3:uid="{0EAFDCEF-BBD7-4041-834C-3FBDC1C6B92B}" name="المبلغ" dataDxfId="92">
      <calculatedColumnFormula>SUM(C8:C23)</calculatedColumnFormula>
    </tableColumn>
    <tableColumn id="4" xr3:uid="{39AEA92C-13EB-4DA3-9493-CFD0F7B00F00}" name="دفع بواسطة" dataDxfId="9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E9F69A0-BD80-4C3E-8C90-B7E428D95CC1}" name="Table437710131925283146810121416" displayName="Table437710131925283146810121416" ref="A7:D16" totalsRowShown="0" headerRowDxfId="90" headerRowBorderDxfId="89" tableBorderDxfId="88" totalsRowBorderDxfId="87">
  <autoFilter ref="A7:D16" xr:uid="{80463B2B-140C-4BDB-8DD5-F6096215EFE7}"/>
  <tableColumns count="4">
    <tableColumn id="1" xr3:uid="{BF01902C-EEE4-4FA5-8BFD-B9EEB8C9CC1D}" name="التاريخ" dataDxfId="86"/>
    <tableColumn id="2" xr3:uid="{21AE55C1-D237-407C-91D9-1342289DDE2E}" name="الوصف" dataDxfId="85"/>
    <tableColumn id="3" xr3:uid="{64BCF199-60B5-4CBB-A558-3DD9DADBA498}" name="المبلغ" dataDxfId="84"/>
    <tableColumn id="4" xr3:uid="{42D6FFD9-AEF1-4633-B98D-DF8FD9E8BC91}" name="دفع بواسطة" dataDxfId="8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D8C36AB-778C-4EA1-A7BF-D3025C88B3DD}" name="Table336691218242730357911131517" displayName="Table336691218242730357911131517" ref="A23:D32" totalsRowShown="0" headerRowBorderDxfId="82" tableBorderDxfId="81" totalsRowBorderDxfId="80">
  <autoFilter ref="A23:D32" xr:uid="{6A708C44-F2F5-4584-913D-DD0A472A5F82}"/>
  <tableColumns count="4">
    <tableColumn id="1" xr3:uid="{CB177762-47C2-4D5A-B27A-95B10FF01AC7}" name="التاريخ" dataDxfId="79"/>
    <tableColumn id="2" xr3:uid="{B0B0A14B-4F69-46C1-8F28-A93D4D2B3E79}" name="الوصف" dataDxfId="78"/>
    <tableColumn id="3" xr3:uid="{854123D6-189E-49B9-8C6C-9829934AFEFC}" name="المبلغ" dataDxfId="77">
      <calculatedColumnFormula>SUM(C8:C23)</calculatedColumnFormula>
    </tableColumn>
    <tableColumn id="4" xr3:uid="{E71D8C9A-89A9-496D-B058-AF18AB09892C}" name="دفع بواسطة" dataDxfId="7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D4CE0AA-E397-4FC1-87DE-03F0138FAEFC}" name="Table43771013192528314681012141618" displayName="Table43771013192528314681012141618" ref="A7:D16" totalsRowShown="0" headerRowDxfId="75" headerRowBorderDxfId="74" tableBorderDxfId="73" totalsRowBorderDxfId="72">
  <autoFilter ref="A7:D16" xr:uid="{80463B2B-140C-4BDB-8DD5-F6096215EFE7}"/>
  <tableColumns count="4">
    <tableColumn id="1" xr3:uid="{0F60160D-ECEF-4CC2-97FD-34394FC0E9A1}" name="التاريخ" dataDxfId="71"/>
    <tableColumn id="2" xr3:uid="{D3E76189-F792-4E63-8E94-DE975B6BE32C}" name="الوصف" dataDxfId="70"/>
    <tableColumn id="3" xr3:uid="{93170B66-F6B5-4D7B-BEB0-ADECC1816ECC}" name="المبلغ" dataDxfId="69"/>
    <tableColumn id="4" xr3:uid="{8B919CDA-18A7-4EB0-BE9E-5323F779B2CC}" name="دفع بواسطة" dataDxfId="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DD287DD-CE51-4F23-AB5A-5BC119302841}" name="Table33669121824273035791113151719" displayName="Table33669121824273035791113151719" ref="A23:D32" totalsRowShown="0" headerRowBorderDxfId="67" tableBorderDxfId="66" totalsRowBorderDxfId="65">
  <autoFilter ref="A23:D32" xr:uid="{6A708C44-F2F5-4584-913D-DD0A472A5F82}"/>
  <tableColumns count="4">
    <tableColumn id="1" xr3:uid="{CBAE00CC-2810-45B8-8FB5-426D709DEF67}" name="التاريخ" dataDxfId="64"/>
    <tableColumn id="2" xr3:uid="{E1208618-C127-45D1-9B85-90977B856CD1}" name="الوصف" dataDxfId="63"/>
    <tableColumn id="3" xr3:uid="{B9732E39-9F02-40E9-8E31-5713C767C218}" name="المبلغ" dataDxfId="62">
      <calculatedColumnFormula>SUM(C8:C23)</calculatedColumnFormula>
    </tableColumn>
    <tableColumn id="4" xr3:uid="{CE901DA5-5645-41E6-95F0-6D9B86A27A6E}" name="دفع بواسطة" dataDxfId="6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FFBBCD-4970-4120-AEB3-E61E82BD8FC6}" name="Table4377101319252831468101214161820" displayName="Table4377101319252831468101214161820" ref="A7:D16" totalsRowShown="0" headerRowDxfId="60" headerRowBorderDxfId="59" tableBorderDxfId="58" totalsRowBorderDxfId="57">
  <autoFilter ref="A7:D16" xr:uid="{80463B2B-140C-4BDB-8DD5-F6096215EFE7}"/>
  <tableColumns count="4">
    <tableColumn id="1" xr3:uid="{B9FF6E90-D8F0-4A7A-8945-10259C5B8205}" name="التاريخ" dataDxfId="56"/>
    <tableColumn id="2" xr3:uid="{86C3C9CE-988F-4621-9CCB-18D072C896A8}" name="الوصف" dataDxfId="55"/>
    <tableColumn id="3" xr3:uid="{012394E7-BFE7-4019-A4B2-551639421D36}" name="المبلغ" dataDxfId="54"/>
    <tableColumn id="4" xr3:uid="{503ADA25-BBAF-4D72-AA50-EBC022650166}" name="دفع بواسطة" dataDxfId="5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7E58F43-E57F-4D9E-BB15-834D8BB77FAB}" name="Table3366912182427303579111315171921" displayName="Table3366912182427303579111315171921" ref="A23:D32" totalsRowShown="0" headerRowBorderDxfId="52" tableBorderDxfId="51" totalsRowBorderDxfId="50">
  <autoFilter ref="A23:D32" xr:uid="{6A708C44-F2F5-4584-913D-DD0A472A5F82}"/>
  <tableColumns count="4">
    <tableColumn id="1" xr3:uid="{11107488-89F6-4BAE-B7EE-3F06D54D66A1}" name="التاريخ" dataDxfId="49"/>
    <tableColumn id="2" xr3:uid="{CA1AD2FA-EA58-49E1-A93E-B18FD50AD7C6}" name="الوصف" dataDxfId="48"/>
    <tableColumn id="3" xr3:uid="{4EB6333C-BCDF-4B96-97D4-917E99DBD45E}" name="المبلغ" dataDxfId="47">
      <calculatedColumnFormula>SUM(C8:C23)</calculatedColumnFormula>
    </tableColumn>
    <tableColumn id="4" xr3:uid="{19E949F8-419E-4CAD-BE1F-F7CFD43BB185}" name="دفع بواسطة" dataDxfId="4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048F9EF-CB1C-4986-AB95-9E6E81CFF192}" name="Table437710131925283146810121416182022" displayName="Table437710131925283146810121416182022" ref="A7:D16" totalsRowShown="0" headerRowDxfId="45" headerRowBorderDxfId="44" tableBorderDxfId="43" totalsRowBorderDxfId="42">
  <autoFilter ref="A7:D16" xr:uid="{80463B2B-140C-4BDB-8DD5-F6096215EFE7}"/>
  <tableColumns count="4">
    <tableColumn id="1" xr3:uid="{35D5238F-7192-4D22-8A6D-E3B792D5E117}" name="التاريخ" dataDxfId="41"/>
    <tableColumn id="2" xr3:uid="{BE835AE5-79CE-46D6-9B6B-0A5FC22DBBBE}" name="الوصف" dataDxfId="40"/>
    <tableColumn id="3" xr3:uid="{FE2DF21A-0D41-4675-B03B-161105D6914A}" name="المبلغ" dataDxfId="39"/>
    <tableColumn id="4" xr3:uid="{35629487-745B-4FCD-9872-065A492DF056}" name="دفع بواسطة" dataDxfId="38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FD17152-C43F-43CB-9864-DB8B4B975BE7}" name="Table336691218242730357911131517192123" displayName="Table336691218242730357911131517192123" ref="A23:D32" totalsRowShown="0" headerRowBorderDxfId="37" tableBorderDxfId="36" totalsRowBorderDxfId="35">
  <autoFilter ref="A23:D32" xr:uid="{6A708C44-F2F5-4584-913D-DD0A472A5F82}"/>
  <tableColumns count="4">
    <tableColumn id="1" xr3:uid="{A907C883-CEA3-4A85-88A1-26664A7106C5}" name="التاريخ" dataDxfId="34"/>
    <tableColumn id="2" xr3:uid="{2909EFBD-8126-435F-AB4C-9836DDA5F055}" name="الوصف" dataDxfId="33"/>
    <tableColumn id="3" xr3:uid="{68AC693A-62C6-488C-A1A9-81FB5AC6FB46}" name="المبلغ" dataDxfId="32">
      <calculatedColumnFormula>SUM(C8:C23)</calculatedColumnFormula>
    </tableColumn>
    <tableColumn id="4" xr3:uid="{B409B390-B5F7-4DFA-BE41-D74168CD9986}" name="دفع بواسطة" dataDxfId="3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3C4D227-B3D5-4E58-8699-39A49022625E}" name="Table43771013192528314681012141618202224" displayName="Table43771013192528314681012141618202224" ref="A7:D16" totalsRowShown="0" headerRowDxfId="30" headerRowBorderDxfId="29" tableBorderDxfId="28" totalsRowBorderDxfId="27">
  <autoFilter ref="A7:D16" xr:uid="{80463B2B-140C-4BDB-8DD5-F6096215EFE7}"/>
  <tableColumns count="4">
    <tableColumn id="1" xr3:uid="{4C2F4191-66BF-4930-BDCB-AE7727B0498F}" name="التاريخ" dataDxfId="26"/>
    <tableColumn id="2" xr3:uid="{B81BAD93-6F8A-4EFE-A87B-8B493E5FB001}" name="الوصف" dataDxfId="25"/>
    <tableColumn id="3" xr3:uid="{D64F2F7F-E789-4A6C-9109-E486BEE11E07}" name="المبلغ" dataDxfId="24"/>
    <tableColumn id="4" xr3:uid="{1FE284E3-0FB1-4379-8020-E73A4D9E3D3B}" name="دفع بواسطة" dataDxfId="2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B81FE0D-CB26-44A3-8B26-732506B24507}" name="Table33669121824273035791113151719212325" displayName="Table33669121824273035791113151719212325" ref="A23:D32" totalsRowShown="0" headerRowBorderDxfId="22" tableBorderDxfId="21" totalsRowBorderDxfId="20">
  <autoFilter ref="A23:D32" xr:uid="{6A708C44-F2F5-4584-913D-DD0A472A5F82}"/>
  <tableColumns count="4">
    <tableColumn id="1" xr3:uid="{F22CF47C-B335-46D9-B88F-999C1042F0EC}" name="التاريخ" dataDxfId="19"/>
    <tableColumn id="2" xr3:uid="{C272265E-1799-419C-9CF1-E1C95CA71196}" name="الوصف" dataDxfId="18"/>
    <tableColumn id="3" xr3:uid="{144C32DD-702C-42C1-AAFD-327CC62B6034}" name="المبلغ" dataDxfId="17">
      <calculatedColumnFormula>SUM(C8:C23)</calculatedColumnFormula>
    </tableColumn>
    <tableColumn id="4" xr3:uid="{FA586AB9-DB9D-4F65-A737-4323F47A2577}" name="دفع بواسطة" dataDxfId="1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8D9B56F-7B0F-47E2-A949-F8390B2CED6F}" name="Table4377101319252831468101214161820222426" displayName="Table4377101319252831468101214161820222426" ref="A7:D16" totalsRowShown="0" headerRowDxfId="15" headerRowBorderDxfId="14" tableBorderDxfId="13" totalsRowBorderDxfId="12">
  <autoFilter ref="A7:D16" xr:uid="{80463B2B-140C-4BDB-8DD5-F6096215EFE7}"/>
  <tableColumns count="4">
    <tableColumn id="1" xr3:uid="{32BDFD74-F8E2-4A0B-A931-282046F5F131}" name="التاريخ" dataDxfId="11"/>
    <tableColumn id="2" xr3:uid="{FB65B97A-696F-430B-98AF-BE8B86A7412B}" name="الوصف" dataDxfId="10"/>
    <tableColumn id="3" xr3:uid="{C9C43695-936C-483E-B49E-365D49F51005}" name="المبلغ" dataDxfId="9"/>
    <tableColumn id="4" xr3:uid="{45321E20-97CF-4E2F-8435-EE0AF350EB97}" name="دفع بواسطة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E1B3-5D37-4E47-B257-7A61F387EB82}">
  <dimension ref="A1:F127"/>
  <sheetViews>
    <sheetView rightToLeft="1" topLeftCell="A109" zoomScale="70" zoomScaleNormal="70" workbookViewId="0">
      <selection activeCell="D124" sqref="D124"/>
    </sheetView>
  </sheetViews>
  <sheetFormatPr defaultColWidth="9.109375" defaultRowHeight="23.4" x14ac:dyDescent="0.3"/>
  <cols>
    <col min="1" max="1" width="19" style="1" bestFit="1" customWidth="1"/>
    <col min="2" max="2" width="27.77734375" style="72" bestFit="1" customWidth="1"/>
    <col min="3" max="3" width="34.109375" style="2" bestFit="1" customWidth="1"/>
    <col min="4" max="4" width="20.44140625" style="2" bestFit="1" customWidth="1"/>
    <col min="5" max="5" width="18.6640625" style="2" bestFit="1" customWidth="1"/>
    <col min="6" max="6" width="20" style="1" customWidth="1"/>
    <col min="7" max="16384" width="9.109375" style="1"/>
  </cols>
  <sheetData>
    <row r="1" spans="1:6" ht="28.8" x14ac:dyDescent="0.3">
      <c r="A1" s="83" t="s">
        <v>1</v>
      </c>
      <c r="B1" s="83"/>
      <c r="C1" s="83"/>
      <c r="D1" s="83"/>
      <c r="E1" s="83"/>
    </row>
    <row r="2" spans="1:6" ht="24" thickBot="1" x14ac:dyDescent="0.35"/>
    <row r="3" spans="1:6" ht="24.6" thickTop="1" thickBot="1" x14ac:dyDescent="0.35">
      <c r="A3" s="69" t="s">
        <v>21</v>
      </c>
      <c r="B3" s="73" t="s">
        <v>4</v>
      </c>
      <c r="C3" s="70" t="s">
        <v>5</v>
      </c>
      <c r="D3" s="70" t="s">
        <v>22</v>
      </c>
      <c r="E3" s="70" t="s">
        <v>23</v>
      </c>
      <c r="F3" s="2"/>
    </row>
    <row r="4" spans="1:6" ht="24.6" thickTop="1" thickBot="1" x14ac:dyDescent="0.35">
      <c r="A4" s="80" t="s">
        <v>8</v>
      </c>
      <c r="B4" s="56">
        <v>46250</v>
      </c>
      <c r="C4" s="39" t="s">
        <v>28</v>
      </c>
      <c r="D4" s="68">
        <f>'أغسطس 2026'!C43</f>
        <v>850</v>
      </c>
      <c r="E4" s="65"/>
    </row>
    <row r="5" spans="1:6" ht="24.6" thickTop="1" thickBot="1" x14ac:dyDescent="0.35">
      <c r="A5" s="80"/>
      <c r="B5" s="54"/>
      <c r="C5" s="6" t="s">
        <v>30</v>
      </c>
      <c r="D5" s="21">
        <f>'أغسطس 2026'!C32*-1</f>
        <v>0</v>
      </c>
      <c r="E5" s="3"/>
    </row>
    <row r="6" spans="1:6" ht="24.6" thickTop="1" thickBot="1" x14ac:dyDescent="0.35">
      <c r="A6" s="78"/>
      <c r="B6" s="54">
        <v>46250</v>
      </c>
      <c r="C6" s="6" t="s">
        <v>31</v>
      </c>
      <c r="D6" s="21">
        <v>-850</v>
      </c>
      <c r="E6" s="3"/>
    </row>
    <row r="7" spans="1:6" ht="24.6" thickTop="1" thickBot="1" x14ac:dyDescent="0.35">
      <c r="A7" s="78"/>
      <c r="B7" s="55"/>
      <c r="C7" s="6"/>
      <c r="D7" s="26"/>
      <c r="E7" s="3"/>
    </row>
    <row r="8" spans="1:6" ht="24.6" thickTop="1" thickBot="1" x14ac:dyDescent="0.35">
      <c r="A8" s="78"/>
      <c r="B8" s="51"/>
      <c r="C8" s="6"/>
      <c r="D8" s="26"/>
      <c r="E8" s="3"/>
    </row>
    <row r="9" spans="1:6" ht="24.6" thickTop="1" thickBot="1" x14ac:dyDescent="0.35">
      <c r="A9" s="78"/>
      <c r="B9" s="55"/>
      <c r="C9" s="31"/>
      <c r="D9" s="29"/>
      <c r="E9" s="3"/>
    </row>
    <row r="10" spans="1:6" ht="24.6" thickTop="1" thickBot="1" x14ac:dyDescent="0.35">
      <c r="A10" s="78" t="s">
        <v>9</v>
      </c>
      <c r="B10" s="52"/>
      <c r="C10" s="32"/>
      <c r="D10" s="30"/>
      <c r="E10" s="71"/>
    </row>
    <row r="11" spans="1:6" ht="24.6" thickTop="1" thickBot="1" x14ac:dyDescent="0.35">
      <c r="A11" s="78"/>
      <c r="B11" s="50">
        <v>46266</v>
      </c>
      <c r="C11" s="19" t="s">
        <v>28</v>
      </c>
      <c r="D11" s="67">
        <f>'سبتمبر 2026'!C43</f>
        <v>0</v>
      </c>
      <c r="E11" s="42"/>
    </row>
    <row r="12" spans="1:6" ht="24.6" thickTop="1" thickBot="1" x14ac:dyDescent="0.35">
      <c r="A12" s="78"/>
      <c r="B12" s="54"/>
      <c r="C12" s="17" t="s">
        <v>30</v>
      </c>
      <c r="D12" s="23">
        <f>'سبتمبر 2026'!C32*-1</f>
        <v>0</v>
      </c>
      <c r="E12" s="45"/>
    </row>
    <row r="13" spans="1:6" ht="24.6" thickTop="1" thickBot="1" x14ac:dyDescent="0.35">
      <c r="A13" s="78"/>
      <c r="B13" s="51"/>
      <c r="C13" s="17" t="s">
        <v>31</v>
      </c>
      <c r="D13" s="23"/>
      <c r="E13" s="44"/>
    </row>
    <row r="14" spans="1:6" ht="24.6" thickTop="1" thickBot="1" x14ac:dyDescent="0.35">
      <c r="A14" s="78"/>
      <c r="B14" s="51"/>
      <c r="C14" s="17"/>
      <c r="D14" s="23"/>
      <c r="E14" s="40"/>
    </row>
    <row r="15" spans="1:6" ht="24.6" thickTop="1" thickBot="1" x14ac:dyDescent="0.35">
      <c r="A15" s="78"/>
      <c r="B15" s="51"/>
      <c r="C15" s="27"/>
      <c r="D15" s="28"/>
      <c r="E15" s="40"/>
    </row>
    <row r="16" spans="1:6" ht="24.6" thickTop="1" thickBot="1" x14ac:dyDescent="0.35">
      <c r="A16" s="78"/>
      <c r="B16" s="53"/>
      <c r="C16" s="27"/>
      <c r="D16" s="28"/>
      <c r="E16" s="48"/>
    </row>
    <row r="17" spans="1:5" ht="24.6" thickTop="1" thickBot="1" x14ac:dyDescent="0.35">
      <c r="A17" s="78"/>
      <c r="B17" s="53"/>
      <c r="C17" s="33"/>
      <c r="D17" s="28"/>
      <c r="E17" s="49"/>
    </row>
    <row r="18" spans="1:5" ht="24.6" thickTop="1" thickBot="1" x14ac:dyDescent="0.35">
      <c r="A18" s="81" t="s">
        <v>10</v>
      </c>
      <c r="B18" s="52"/>
      <c r="C18" s="34"/>
      <c r="D18" s="24"/>
      <c r="E18" s="41"/>
    </row>
    <row r="19" spans="1:5" ht="24.6" thickTop="1" thickBot="1" x14ac:dyDescent="0.35">
      <c r="A19" s="78"/>
      <c r="B19" s="50">
        <v>46296</v>
      </c>
      <c r="C19" s="18" t="s">
        <v>28</v>
      </c>
      <c r="D19" s="66">
        <f>'أكتوبر 2026'!C43</f>
        <v>0</v>
      </c>
      <c r="E19" s="40"/>
    </row>
    <row r="20" spans="1:5" ht="24.6" thickTop="1" thickBot="1" x14ac:dyDescent="0.35">
      <c r="A20" s="78"/>
      <c r="B20" s="51"/>
      <c r="C20" s="6" t="s">
        <v>30</v>
      </c>
      <c r="D20" s="21">
        <f>'أكتوبر 2026'!C32*-1</f>
        <v>0</v>
      </c>
      <c r="E20" s="40"/>
    </row>
    <row r="21" spans="1:5" ht="24.6" thickTop="1" thickBot="1" x14ac:dyDescent="0.35">
      <c r="A21" s="78"/>
      <c r="B21" s="51"/>
      <c r="C21" s="6" t="s">
        <v>31</v>
      </c>
      <c r="D21" s="21"/>
      <c r="E21" s="44"/>
    </row>
    <row r="22" spans="1:5" ht="24.6" thickTop="1" thickBot="1" x14ac:dyDescent="0.35">
      <c r="A22" s="78"/>
      <c r="B22" s="51"/>
      <c r="C22" s="6"/>
      <c r="D22" s="21"/>
      <c r="E22" s="40"/>
    </row>
    <row r="23" spans="1:5" ht="24.6" thickTop="1" thickBot="1" x14ac:dyDescent="0.35">
      <c r="A23" s="78"/>
      <c r="B23" s="53"/>
      <c r="C23" s="10"/>
      <c r="D23" s="26"/>
      <c r="E23" s="40"/>
    </row>
    <row r="24" spans="1:5" ht="24.6" thickTop="1" thickBot="1" x14ac:dyDescent="0.35">
      <c r="A24" s="78"/>
      <c r="B24" s="53"/>
      <c r="C24" s="10"/>
      <c r="D24" s="26"/>
      <c r="E24" s="48"/>
    </row>
    <row r="25" spans="1:5" ht="24.6" thickTop="1" thickBot="1" x14ac:dyDescent="0.35">
      <c r="A25" s="78"/>
      <c r="B25" s="53"/>
      <c r="C25" s="31"/>
      <c r="D25" s="26"/>
      <c r="E25" s="49"/>
    </row>
    <row r="26" spans="1:5" ht="24.6" thickTop="1" thickBot="1" x14ac:dyDescent="0.35">
      <c r="A26" s="78" t="s">
        <v>11</v>
      </c>
      <c r="B26" s="52"/>
      <c r="C26" s="32"/>
      <c r="D26" s="22"/>
      <c r="E26" s="41"/>
    </row>
    <row r="27" spans="1:5" ht="24.6" thickTop="1" thickBot="1" x14ac:dyDescent="0.35">
      <c r="A27" s="78"/>
      <c r="B27" s="50">
        <v>46327</v>
      </c>
      <c r="C27" s="19" t="s">
        <v>28</v>
      </c>
      <c r="D27" s="67">
        <f>'نوفمبر 2026'!C43</f>
        <v>0</v>
      </c>
      <c r="E27" s="46"/>
    </row>
    <row r="28" spans="1:5" ht="24.6" thickTop="1" thickBot="1" x14ac:dyDescent="0.35">
      <c r="A28" s="78"/>
      <c r="B28" s="51"/>
      <c r="C28" s="17" t="s">
        <v>30</v>
      </c>
      <c r="D28" s="23">
        <f>'نوفمبر 2026'!C32*-1</f>
        <v>0</v>
      </c>
      <c r="E28" s="47"/>
    </row>
    <row r="29" spans="1:5" ht="24.6" thickTop="1" thickBot="1" x14ac:dyDescent="0.35">
      <c r="A29" s="78"/>
      <c r="B29" s="51"/>
      <c r="C29" s="17" t="s">
        <v>31</v>
      </c>
      <c r="D29" s="23"/>
      <c r="E29" s="44"/>
    </row>
    <row r="30" spans="1:5" ht="24.6" thickTop="1" thickBot="1" x14ac:dyDescent="0.35">
      <c r="A30" s="78"/>
      <c r="B30" s="51"/>
      <c r="C30" s="17"/>
      <c r="D30" s="23"/>
      <c r="E30" s="40"/>
    </row>
    <row r="31" spans="1:5" ht="24.6" thickTop="1" thickBot="1" x14ac:dyDescent="0.35">
      <c r="A31" s="78"/>
      <c r="B31" s="53"/>
      <c r="C31" s="27"/>
      <c r="D31" s="28"/>
      <c r="E31" s="40"/>
    </row>
    <row r="32" spans="1:5" ht="24.6" thickTop="1" thickBot="1" x14ac:dyDescent="0.35">
      <c r="A32" s="78"/>
      <c r="B32" s="53"/>
      <c r="C32" s="27"/>
      <c r="D32" s="28"/>
      <c r="E32" s="48"/>
    </row>
    <row r="33" spans="1:5" ht="24.6" thickTop="1" thickBot="1" x14ac:dyDescent="0.35">
      <c r="A33" s="78"/>
      <c r="B33" s="53"/>
      <c r="C33" s="33"/>
      <c r="D33" s="28"/>
      <c r="E33" s="49"/>
    </row>
    <row r="34" spans="1:5" ht="24.6" thickTop="1" thickBot="1" x14ac:dyDescent="0.35">
      <c r="A34" s="78" t="s">
        <v>12</v>
      </c>
      <c r="B34" s="52"/>
      <c r="C34" s="34"/>
      <c r="D34" s="24"/>
      <c r="E34" s="41"/>
    </row>
    <row r="35" spans="1:5" ht="24.6" thickTop="1" thickBot="1" x14ac:dyDescent="0.35">
      <c r="A35" s="78"/>
      <c r="B35" s="50">
        <v>46357</v>
      </c>
      <c r="C35" s="18" t="s">
        <v>28</v>
      </c>
      <c r="D35" s="66">
        <f>'ديسمبر 2026'!C43</f>
        <v>0</v>
      </c>
      <c r="E35" s="46"/>
    </row>
    <row r="36" spans="1:5" ht="24.6" thickTop="1" thickBot="1" x14ac:dyDescent="0.35">
      <c r="A36" s="78"/>
      <c r="B36" s="54"/>
      <c r="C36" s="6" t="s">
        <v>30</v>
      </c>
      <c r="D36" s="21">
        <f>'ديسمبر 2026'!C32*-1</f>
        <v>0</v>
      </c>
      <c r="E36" s="47"/>
    </row>
    <row r="37" spans="1:5" ht="24.6" thickTop="1" thickBot="1" x14ac:dyDescent="0.35">
      <c r="A37" s="78"/>
      <c r="B37" s="51"/>
      <c r="C37" s="6" t="s">
        <v>31</v>
      </c>
      <c r="D37" s="21"/>
      <c r="E37" s="44"/>
    </row>
    <row r="38" spans="1:5" ht="24.6" thickTop="1" thickBot="1" x14ac:dyDescent="0.35">
      <c r="A38" s="78"/>
      <c r="B38" s="51"/>
      <c r="C38" s="6"/>
      <c r="D38" s="21"/>
      <c r="E38" s="40"/>
    </row>
    <row r="39" spans="1:5" ht="24.6" thickTop="1" thickBot="1" x14ac:dyDescent="0.35">
      <c r="A39" s="78"/>
      <c r="B39" s="53"/>
      <c r="C39" s="10"/>
      <c r="D39" s="26"/>
      <c r="E39" s="40"/>
    </row>
    <row r="40" spans="1:5" ht="24.6" thickTop="1" thickBot="1" x14ac:dyDescent="0.35">
      <c r="A40" s="78"/>
      <c r="B40" s="53"/>
      <c r="C40" s="10"/>
      <c r="D40" s="26"/>
      <c r="E40" s="43"/>
    </row>
    <row r="41" spans="1:5" ht="24.6" thickTop="1" thickBot="1" x14ac:dyDescent="0.35">
      <c r="A41" s="78"/>
      <c r="B41" s="53"/>
      <c r="C41" s="10"/>
      <c r="D41" s="26"/>
      <c r="E41" s="48"/>
    </row>
    <row r="42" spans="1:5" ht="24.6" thickTop="1" thickBot="1" x14ac:dyDescent="0.35">
      <c r="A42" s="78"/>
      <c r="B42" s="53"/>
      <c r="C42" s="31"/>
      <c r="D42" s="26"/>
      <c r="E42" s="49"/>
    </row>
    <row r="43" spans="1:5" ht="24.6" thickTop="1" thickBot="1" x14ac:dyDescent="0.35">
      <c r="A43" s="78" t="s">
        <v>13</v>
      </c>
      <c r="B43" s="52"/>
      <c r="C43" s="32"/>
      <c r="D43" s="22"/>
      <c r="E43" s="41"/>
    </row>
    <row r="44" spans="1:5" ht="24.6" thickTop="1" thickBot="1" x14ac:dyDescent="0.35">
      <c r="A44" s="78"/>
      <c r="B44" s="50">
        <v>46388</v>
      </c>
      <c r="C44" s="19" t="s">
        <v>28</v>
      </c>
      <c r="D44" s="67">
        <f>'يناير 2027'!C43</f>
        <v>0</v>
      </c>
      <c r="E44" s="46"/>
    </row>
    <row r="45" spans="1:5" ht="24.6" thickTop="1" thickBot="1" x14ac:dyDescent="0.35">
      <c r="A45" s="78"/>
      <c r="B45" s="54"/>
      <c r="C45" s="17" t="s">
        <v>30</v>
      </c>
      <c r="D45" s="23">
        <f>'يناير 2027'!C32*-1</f>
        <v>0</v>
      </c>
      <c r="E45" s="47"/>
    </row>
    <row r="46" spans="1:5" ht="24.6" thickTop="1" thickBot="1" x14ac:dyDescent="0.35">
      <c r="A46" s="78"/>
      <c r="B46" s="51"/>
      <c r="C46" s="17" t="s">
        <v>31</v>
      </c>
      <c r="D46" s="23"/>
      <c r="E46" s="44"/>
    </row>
    <row r="47" spans="1:5" ht="24.6" thickTop="1" thickBot="1" x14ac:dyDescent="0.35">
      <c r="A47" s="78"/>
      <c r="B47" s="51"/>
      <c r="C47" s="17"/>
      <c r="D47" s="23"/>
      <c r="E47" s="40"/>
    </row>
    <row r="48" spans="1:5" ht="24.6" thickTop="1" thickBot="1" x14ac:dyDescent="0.35">
      <c r="A48" s="78"/>
      <c r="B48" s="53"/>
      <c r="C48" s="27"/>
      <c r="D48" s="28"/>
      <c r="E48" s="63"/>
    </row>
    <row r="49" spans="1:5" ht="24.6" thickTop="1" thickBot="1" x14ac:dyDescent="0.35">
      <c r="A49" s="78"/>
      <c r="B49" s="53"/>
      <c r="C49" s="27"/>
      <c r="D49" s="28"/>
      <c r="E49" s="40"/>
    </row>
    <row r="50" spans="1:5" ht="24.6" thickTop="1" thickBot="1" x14ac:dyDescent="0.35">
      <c r="A50" s="78"/>
      <c r="B50" s="53"/>
      <c r="C50" s="27"/>
      <c r="D50" s="28"/>
      <c r="E50" s="48"/>
    </row>
    <row r="51" spans="1:5" ht="24.6" thickTop="1" thickBot="1" x14ac:dyDescent="0.35">
      <c r="A51" s="78"/>
      <c r="B51" s="53"/>
      <c r="C51" s="33"/>
      <c r="D51" s="28"/>
      <c r="E51" s="49"/>
    </row>
    <row r="52" spans="1:5" ht="24.6" thickTop="1" thickBot="1" x14ac:dyDescent="0.35">
      <c r="A52" s="78" t="s">
        <v>14</v>
      </c>
      <c r="B52" s="52"/>
      <c r="C52" s="34"/>
      <c r="D52" s="24"/>
      <c r="E52" s="41"/>
    </row>
    <row r="53" spans="1:5" ht="24.6" thickTop="1" thickBot="1" x14ac:dyDescent="0.35">
      <c r="A53" s="78"/>
      <c r="B53" s="50">
        <v>46419</v>
      </c>
      <c r="C53" s="18" t="s">
        <v>28</v>
      </c>
      <c r="D53" s="66">
        <f>'فبراير 2027'!C43</f>
        <v>0</v>
      </c>
      <c r="E53" s="46"/>
    </row>
    <row r="54" spans="1:5" ht="24.6" thickTop="1" thickBot="1" x14ac:dyDescent="0.35">
      <c r="A54" s="78"/>
      <c r="B54" s="54"/>
      <c r="C54" s="6" t="s">
        <v>30</v>
      </c>
      <c r="D54" s="21">
        <f>'فبراير 2027'!C32*-1</f>
        <v>0</v>
      </c>
      <c r="E54" s="47"/>
    </row>
    <row r="55" spans="1:5" ht="24.6" thickTop="1" thickBot="1" x14ac:dyDescent="0.35">
      <c r="A55" s="78"/>
      <c r="B55" s="51"/>
      <c r="C55" s="6" t="s">
        <v>31</v>
      </c>
      <c r="D55" s="21"/>
      <c r="E55" s="44"/>
    </row>
    <row r="56" spans="1:5" ht="24.6" thickTop="1" thickBot="1" x14ac:dyDescent="0.35">
      <c r="A56" s="78"/>
      <c r="B56" s="51"/>
      <c r="C56" s="6"/>
      <c r="D56" s="21"/>
      <c r="E56" s="40"/>
    </row>
    <row r="57" spans="1:5" ht="24.6" thickTop="1" thickBot="1" x14ac:dyDescent="0.35">
      <c r="A57" s="78"/>
      <c r="B57" s="53"/>
      <c r="C57" s="10"/>
      <c r="D57" s="26"/>
      <c r="E57" s="40"/>
    </row>
    <row r="58" spans="1:5" ht="24.6" thickTop="1" thickBot="1" x14ac:dyDescent="0.35">
      <c r="A58" s="78"/>
      <c r="B58" s="53"/>
      <c r="C58" s="10"/>
      <c r="D58" s="26"/>
      <c r="E58" s="40"/>
    </row>
    <row r="59" spans="1:5" ht="24.6" thickTop="1" thickBot="1" x14ac:dyDescent="0.35">
      <c r="A59" s="78"/>
      <c r="B59" s="53"/>
      <c r="C59" s="10"/>
      <c r="D59" s="26"/>
      <c r="E59" s="48"/>
    </row>
    <row r="60" spans="1:5" ht="24.6" thickTop="1" thickBot="1" x14ac:dyDescent="0.35">
      <c r="A60" s="78"/>
      <c r="B60" s="53"/>
      <c r="C60" s="31"/>
      <c r="D60" s="26"/>
      <c r="E60" s="49"/>
    </row>
    <row r="61" spans="1:5" ht="24.6" thickTop="1" thickBot="1" x14ac:dyDescent="0.35">
      <c r="A61" s="78" t="s">
        <v>15</v>
      </c>
      <c r="B61" s="52"/>
      <c r="C61" s="32"/>
      <c r="D61" s="22"/>
      <c r="E61" s="41"/>
    </row>
    <row r="62" spans="1:5" ht="24.6" thickTop="1" thickBot="1" x14ac:dyDescent="0.35">
      <c r="A62" s="78"/>
      <c r="B62" s="50">
        <v>46447</v>
      </c>
      <c r="C62" s="19" t="s">
        <v>28</v>
      </c>
      <c r="D62" s="67">
        <f>'مارس 2027'!C43</f>
        <v>0</v>
      </c>
      <c r="E62" s="64"/>
    </row>
    <row r="63" spans="1:5" ht="24.6" thickTop="1" thickBot="1" x14ac:dyDescent="0.35">
      <c r="A63" s="78"/>
      <c r="B63" s="54"/>
      <c r="C63" s="17" t="s">
        <v>30</v>
      </c>
      <c r="D63" s="23">
        <f>'مارس 2027'!C32*-1</f>
        <v>0</v>
      </c>
      <c r="E63" s="47"/>
    </row>
    <row r="64" spans="1:5" ht="24.6" thickTop="1" thickBot="1" x14ac:dyDescent="0.35">
      <c r="A64" s="78"/>
      <c r="B64" s="51"/>
      <c r="C64" s="17" t="s">
        <v>31</v>
      </c>
      <c r="D64" s="23"/>
      <c r="E64" s="44"/>
    </row>
    <row r="65" spans="1:5" ht="24.6" thickTop="1" thickBot="1" x14ac:dyDescent="0.35">
      <c r="A65" s="78"/>
      <c r="B65" s="51"/>
      <c r="C65" s="17"/>
      <c r="D65" s="23"/>
      <c r="E65" s="40"/>
    </row>
    <row r="66" spans="1:5" ht="24.6" thickTop="1" thickBot="1" x14ac:dyDescent="0.35">
      <c r="A66" s="78"/>
      <c r="B66" s="53"/>
      <c r="C66" s="27"/>
      <c r="D66" s="28"/>
      <c r="E66" s="40"/>
    </row>
    <row r="67" spans="1:5" ht="24.6" thickTop="1" thickBot="1" x14ac:dyDescent="0.35">
      <c r="A67" s="78"/>
      <c r="B67" s="53"/>
      <c r="C67" s="27"/>
      <c r="D67" s="28"/>
      <c r="E67" s="40"/>
    </row>
    <row r="68" spans="1:5" ht="24.6" thickTop="1" thickBot="1" x14ac:dyDescent="0.35">
      <c r="A68" s="78"/>
      <c r="B68" s="53"/>
      <c r="C68" s="27"/>
      <c r="D68" s="28"/>
      <c r="E68" s="40"/>
    </row>
    <row r="69" spans="1:5" ht="24.6" thickTop="1" thickBot="1" x14ac:dyDescent="0.35">
      <c r="A69" s="78"/>
      <c r="B69" s="53"/>
      <c r="C69" s="27"/>
      <c r="D69" s="28"/>
      <c r="E69" s="48"/>
    </row>
    <row r="70" spans="1:5" ht="24.6" thickTop="1" thickBot="1" x14ac:dyDescent="0.35">
      <c r="A70" s="78"/>
      <c r="B70" s="53"/>
      <c r="C70" s="33"/>
      <c r="D70" s="28"/>
      <c r="E70" s="49"/>
    </row>
    <row r="71" spans="1:5" ht="24.6" thickTop="1" thickBot="1" x14ac:dyDescent="0.35">
      <c r="A71" s="78" t="s">
        <v>16</v>
      </c>
      <c r="B71" s="52"/>
      <c r="C71" s="34"/>
      <c r="D71" s="24"/>
      <c r="E71" s="41"/>
    </row>
    <row r="72" spans="1:5" ht="24.6" thickTop="1" thickBot="1" x14ac:dyDescent="0.35">
      <c r="A72" s="78"/>
      <c r="B72" s="50">
        <v>46478</v>
      </c>
      <c r="C72" s="18" t="s">
        <v>28</v>
      </c>
      <c r="D72" s="66">
        <f>'أبريل 2027'!C43</f>
        <v>0</v>
      </c>
      <c r="E72" s="46"/>
    </row>
    <row r="73" spans="1:5" ht="24.6" thickTop="1" thickBot="1" x14ac:dyDescent="0.35">
      <c r="A73" s="78"/>
      <c r="B73" s="54"/>
      <c r="C73" s="6" t="s">
        <v>30</v>
      </c>
      <c r="D73" s="21">
        <f>'أبريل 2027'!C32*-1</f>
        <v>0</v>
      </c>
      <c r="E73" s="47"/>
    </row>
    <row r="74" spans="1:5" ht="24.6" thickTop="1" thickBot="1" x14ac:dyDescent="0.35">
      <c r="A74" s="78"/>
      <c r="B74" s="51"/>
      <c r="C74" s="6" t="s">
        <v>31</v>
      </c>
      <c r="D74" s="21"/>
      <c r="E74" s="44"/>
    </row>
    <row r="75" spans="1:5" ht="24.6" thickTop="1" thickBot="1" x14ac:dyDescent="0.35">
      <c r="A75" s="78"/>
      <c r="B75" s="51"/>
      <c r="C75" s="6"/>
      <c r="D75" s="21"/>
      <c r="E75" s="40"/>
    </row>
    <row r="76" spans="1:5" ht="24.6" thickTop="1" thickBot="1" x14ac:dyDescent="0.35">
      <c r="A76" s="78"/>
      <c r="B76" s="53"/>
      <c r="C76" s="10"/>
      <c r="D76" s="26"/>
      <c r="E76" s="40"/>
    </row>
    <row r="77" spans="1:5" ht="24.6" thickTop="1" thickBot="1" x14ac:dyDescent="0.35">
      <c r="A77" s="78"/>
      <c r="B77" s="53"/>
      <c r="C77" s="10"/>
      <c r="D77" s="26"/>
      <c r="E77" s="40"/>
    </row>
    <row r="78" spans="1:5" ht="24.6" thickTop="1" thickBot="1" x14ac:dyDescent="0.35">
      <c r="A78" s="78"/>
      <c r="B78" s="53"/>
      <c r="C78" s="10"/>
      <c r="D78" s="26"/>
      <c r="E78" s="40"/>
    </row>
    <row r="79" spans="1:5" ht="24.6" thickTop="1" thickBot="1" x14ac:dyDescent="0.35">
      <c r="A79" s="78"/>
      <c r="B79" s="53"/>
      <c r="C79" s="10"/>
      <c r="D79" s="26"/>
      <c r="E79" s="48"/>
    </row>
    <row r="80" spans="1:5" ht="24.6" thickTop="1" thickBot="1" x14ac:dyDescent="0.35">
      <c r="A80" s="78"/>
      <c r="B80" s="53"/>
      <c r="C80" s="31"/>
      <c r="D80" s="26"/>
      <c r="E80" s="49"/>
    </row>
    <row r="81" spans="1:5" ht="24.6" thickTop="1" thickBot="1" x14ac:dyDescent="0.35">
      <c r="A81" s="78" t="s">
        <v>17</v>
      </c>
      <c r="B81" s="52"/>
      <c r="C81" s="32"/>
      <c r="D81" s="22"/>
      <c r="E81" s="41"/>
    </row>
    <row r="82" spans="1:5" ht="24.6" thickTop="1" thickBot="1" x14ac:dyDescent="0.35">
      <c r="A82" s="78"/>
      <c r="B82" s="50">
        <v>46508</v>
      </c>
      <c r="C82" s="19" t="s">
        <v>28</v>
      </c>
      <c r="D82" s="67">
        <f>'مارس 2027'!C43</f>
        <v>0</v>
      </c>
      <c r="E82" s="46"/>
    </row>
    <row r="83" spans="1:5" ht="24.6" thickTop="1" thickBot="1" x14ac:dyDescent="0.35">
      <c r="A83" s="78"/>
      <c r="B83" s="54"/>
      <c r="C83" s="17" t="s">
        <v>30</v>
      </c>
      <c r="D83" s="23">
        <f>'مارس 2027'!C32*-1</f>
        <v>0</v>
      </c>
      <c r="E83" s="47"/>
    </row>
    <row r="84" spans="1:5" ht="24.6" thickTop="1" thickBot="1" x14ac:dyDescent="0.35">
      <c r="A84" s="78"/>
      <c r="B84" s="51"/>
      <c r="C84" s="17" t="s">
        <v>31</v>
      </c>
      <c r="D84" s="23"/>
      <c r="E84" s="44"/>
    </row>
    <row r="85" spans="1:5" ht="24.6" thickTop="1" thickBot="1" x14ac:dyDescent="0.35">
      <c r="A85" s="78"/>
      <c r="B85" s="51"/>
      <c r="C85" s="17"/>
      <c r="D85" s="23"/>
      <c r="E85" s="40"/>
    </row>
    <row r="86" spans="1:5" ht="24.6" thickTop="1" thickBot="1" x14ac:dyDescent="0.35">
      <c r="A86" s="78"/>
      <c r="B86" s="53"/>
      <c r="C86" s="27"/>
      <c r="D86" s="28"/>
      <c r="E86" s="40"/>
    </row>
    <row r="87" spans="1:5" ht="24.6" thickTop="1" thickBot="1" x14ac:dyDescent="0.35">
      <c r="A87" s="78"/>
      <c r="B87" s="53"/>
      <c r="C87" s="27"/>
      <c r="D87" s="28"/>
      <c r="E87" s="40"/>
    </row>
    <row r="88" spans="1:5" ht="24.6" thickTop="1" thickBot="1" x14ac:dyDescent="0.35">
      <c r="A88" s="78"/>
      <c r="B88" s="53"/>
      <c r="C88" s="27"/>
      <c r="D88" s="28"/>
      <c r="E88" s="48"/>
    </row>
    <row r="89" spans="1:5" ht="24.6" thickTop="1" thickBot="1" x14ac:dyDescent="0.35">
      <c r="A89" s="78"/>
      <c r="B89" s="53"/>
      <c r="C89" s="33"/>
      <c r="D89" s="28"/>
      <c r="E89" s="49"/>
    </row>
    <row r="90" spans="1:5" ht="24.6" thickTop="1" thickBot="1" x14ac:dyDescent="0.35">
      <c r="A90" s="78" t="s">
        <v>18</v>
      </c>
      <c r="B90" s="52"/>
      <c r="C90" s="34"/>
      <c r="D90" s="24"/>
      <c r="E90" s="41"/>
    </row>
    <row r="91" spans="1:5" ht="24.6" thickTop="1" thickBot="1" x14ac:dyDescent="0.35">
      <c r="A91" s="78"/>
      <c r="B91" s="50">
        <v>46539</v>
      </c>
      <c r="C91" s="18" t="s">
        <v>28</v>
      </c>
      <c r="D91" s="66">
        <f>'يونيو 2027'!C43</f>
        <v>0</v>
      </c>
      <c r="E91" s="46"/>
    </row>
    <row r="92" spans="1:5" ht="24.6" thickTop="1" thickBot="1" x14ac:dyDescent="0.35">
      <c r="A92" s="78"/>
      <c r="B92" s="54"/>
      <c r="C92" s="6" t="s">
        <v>30</v>
      </c>
      <c r="D92" s="21">
        <f>'يونيو 2027'!C32*-1</f>
        <v>0</v>
      </c>
      <c r="E92" s="47"/>
    </row>
    <row r="93" spans="1:5" ht="24.6" thickTop="1" thickBot="1" x14ac:dyDescent="0.35">
      <c r="A93" s="78"/>
      <c r="B93" s="51"/>
      <c r="C93" s="6" t="s">
        <v>31</v>
      </c>
      <c r="D93" s="21"/>
      <c r="E93" s="44"/>
    </row>
    <row r="94" spans="1:5" ht="24.6" thickTop="1" thickBot="1" x14ac:dyDescent="0.35">
      <c r="A94" s="78"/>
      <c r="B94" s="51"/>
      <c r="C94" s="6"/>
      <c r="D94" s="21"/>
      <c r="E94" s="40"/>
    </row>
    <row r="95" spans="1:5" ht="24.6" thickTop="1" thickBot="1" x14ac:dyDescent="0.35">
      <c r="A95" s="78"/>
      <c r="B95" s="53"/>
      <c r="C95" s="10"/>
      <c r="D95" s="26"/>
      <c r="E95" s="40"/>
    </row>
    <row r="96" spans="1:5" ht="24.6" thickTop="1" thickBot="1" x14ac:dyDescent="0.35">
      <c r="A96" s="78"/>
      <c r="B96" s="53"/>
      <c r="C96" s="10"/>
      <c r="D96" s="26"/>
      <c r="E96" s="40"/>
    </row>
    <row r="97" spans="1:5" ht="24.6" thickTop="1" thickBot="1" x14ac:dyDescent="0.35">
      <c r="A97" s="78"/>
      <c r="B97" s="53"/>
      <c r="C97" s="10"/>
      <c r="D97" s="26"/>
      <c r="E97" s="48"/>
    </row>
    <row r="98" spans="1:5" ht="24.6" thickTop="1" thickBot="1" x14ac:dyDescent="0.35">
      <c r="A98" s="78"/>
      <c r="B98" s="53"/>
      <c r="C98" s="31"/>
      <c r="D98" s="26"/>
      <c r="E98" s="49"/>
    </row>
    <row r="99" spans="1:5" ht="24.6" thickTop="1" thickBot="1" x14ac:dyDescent="0.35">
      <c r="A99" s="78" t="s">
        <v>19</v>
      </c>
      <c r="B99" s="52"/>
      <c r="C99" s="32"/>
      <c r="D99" s="22"/>
      <c r="E99" s="41"/>
    </row>
    <row r="100" spans="1:5" ht="24.6" thickTop="1" thickBot="1" x14ac:dyDescent="0.35">
      <c r="A100" s="78"/>
      <c r="B100" s="50">
        <v>46569</v>
      </c>
      <c r="C100" s="19" t="s">
        <v>28</v>
      </c>
      <c r="D100" s="67">
        <f>'يوليو 2027'!C43</f>
        <v>0</v>
      </c>
      <c r="E100" s="46"/>
    </row>
    <row r="101" spans="1:5" ht="24.6" thickTop="1" thickBot="1" x14ac:dyDescent="0.35">
      <c r="A101" s="78"/>
      <c r="B101" s="54"/>
      <c r="C101" s="17" t="s">
        <v>30</v>
      </c>
      <c r="D101" s="23">
        <f>'يوليو 2027'!C32*-1</f>
        <v>0</v>
      </c>
      <c r="E101" s="47"/>
    </row>
    <row r="102" spans="1:5" ht="24.6" thickTop="1" thickBot="1" x14ac:dyDescent="0.35">
      <c r="A102" s="78"/>
      <c r="B102" s="51"/>
      <c r="C102" s="17" t="s">
        <v>31</v>
      </c>
      <c r="D102" s="23"/>
      <c r="E102" s="44"/>
    </row>
    <row r="103" spans="1:5" ht="24.6" thickTop="1" thickBot="1" x14ac:dyDescent="0.35">
      <c r="A103" s="78"/>
      <c r="B103" s="51"/>
      <c r="C103" s="17"/>
      <c r="D103" s="23"/>
      <c r="E103" s="40"/>
    </row>
    <row r="104" spans="1:5" ht="24.6" thickTop="1" thickBot="1" x14ac:dyDescent="0.35">
      <c r="A104" s="78"/>
      <c r="B104" s="53"/>
      <c r="C104" s="27"/>
      <c r="D104" s="28"/>
      <c r="E104" s="40"/>
    </row>
    <row r="105" spans="1:5" ht="24.6" thickTop="1" thickBot="1" x14ac:dyDescent="0.35">
      <c r="A105" s="78"/>
      <c r="B105" s="53"/>
      <c r="C105" s="27"/>
      <c r="D105" s="28"/>
      <c r="E105" s="40"/>
    </row>
    <row r="106" spans="1:5" ht="24.6" thickTop="1" thickBot="1" x14ac:dyDescent="0.35">
      <c r="A106" s="78"/>
      <c r="B106" s="53"/>
      <c r="C106" s="27"/>
      <c r="D106" s="28"/>
      <c r="E106" s="48"/>
    </row>
    <row r="107" spans="1:5" ht="24.6" thickTop="1" thickBot="1" x14ac:dyDescent="0.35">
      <c r="A107" s="82"/>
      <c r="B107" s="53"/>
      <c r="C107" s="33"/>
      <c r="D107" s="28"/>
      <c r="E107" s="40"/>
    </row>
    <row r="108" spans="1:5" ht="24.6" thickTop="1" thickBot="1" x14ac:dyDescent="0.35">
      <c r="A108" s="78" t="s">
        <v>20</v>
      </c>
      <c r="B108" s="52"/>
      <c r="C108" s="34"/>
      <c r="D108" s="24"/>
      <c r="E108" s="41"/>
    </row>
    <row r="109" spans="1:5" ht="24.6" thickTop="1" thickBot="1" x14ac:dyDescent="0.35">
      <c r="A109" s="78"/>
      <c r="B109" s="50">
        <v>46600</v>
      </c>
      <c r="C109" s="18" t="s">
        <v>28</v>
      </c>
      <c r="D109" s="66">
        <f>'أغسطس 2027'!C43</f>
        <v>0</v>
      </c>
      <c r="E109" s="46"/>
    </row>
    <row r="110" spans="1:5" ht="24.6" thickTop="1" thickBot="1" x14ac:dyDescent="0.35">
      <c r="A110" s="78"/>
      <c r="B110" s="54"/>
      <c r="C110" s="6" t="s">
        <v>30</v>
      </c>
      <c r="D110" s="21">
        <f>'أغسطس 2027'!C32*-1</f>
        <v>0</v>
      </c>
      <c r="E110" s="47"/>
    </row>
    <row r="111" spans="1:5" ht="24.6" thickTop="1" thickBot="1" x14ac:dyDescent="0.35">
      <c r="A111" s="78"/>
      <c r="B111" s="51"/>
      <c r="C111" s="6" t="s">
        <v>31</v>
      </c>
      <c r="D111" s="21"/>
      <c r="E111" s="44"/>
    </row>
    <row r="112" spans="1:5" ht="24.6" thickTop="1" thickBot="1" x14ac:dyDescent="0.35">
      <c r="A112" s="78"/>
      <c r="B112" s="51"/>
      <c r="C112" s="6"/>
      <c r="D112" s="21"/>
      <c r="E112" s="40"/>
    </row>
    <row r="113" spans="1:5" ht="24.6" thickTop="1" thickBot="1" x14ac:dyDescent="0.35">
      <c r="A113" s="78"/>
      <c r="B113" s="53"/>
      <c r="C113" s="10"/>
      <c r="D113" s="26"/>
      <c r="E113" s="40"/>
    </row>
    <row r="114" spans="1:5" ht="24.6" thickTop="1" thickBot="1" x14ac:dyDescent="0.35">
      <c r="A114" s="78"/>
      <c r="B114" s="53"/>
      <c r="C114" s="10"/>
      <c r="D114" s="26"/>
      <c r="E114" s="40"/>
    </row>
    <row r="115" spans="1:5" ht="24.6" thickTop="1" thickBot="1" x14ac:dyDescent="0.35">
      <c r="A115" s="78"/>
      <c r="B115" s="53"/>
      <c r="C115" s="10"/>
      <c r="D115" s="26"/>
      <c r="E115" s="48"/>
    </row>
    <row r="116" spans="1:5" ht="24.6" thickTop="1" thickBot="1" x14ac:dyDescent="0.35">
      <c r="A116" s="79"/>
      <c r="B116" s="85"/>
      <c r="C116" s="86"/>
      <c r="D116" s="22"/>
      <c r="E116" s="87"/>
    </row>
    <row r="117" spans="1:5" ht="24" thickTop="1" x14ac:dyDescent="0.3">
      <c r="D117" s="25"/>
    </row>
    <row r="118" spans="1:5" x14ac:dyDescent="0.3">
      <c r="D118" s="25"/>
    </row>
    <row r="119" spans="1:5" x14ac:dyDescent="0.3">
      <c r="D119" s="25"/>
    </row>
    <row r="120" spans="1:5" x14ac:dyDescent="0.3">
      <c r="D120" s="25"/>
    </row>
    <row r="121" spans="1:5" ht="24" thickBot="1" x14ac:dyDescent="0.35">
      <c r="D121" s="25"/>
    </row>
    <row r="122" spans="1:5" ht="24.6" thickTop="1" thickBot="1" x14ac:dyDescent="0.35">
      <c r="B122" s="38" t="s">
        <v>32</v>
      </c>
      <c r="D122" s="25"/>
    </row>
    <row r="123" spans="1:5" ht="24.6" thickTop="1" thickBot="1" x14ac:dyDescent="0.35">
      <c r="B123" s="38">
        <v>46255</v>
      </c>
      <c r="D123" s="25"/>
    </row>
    <row r="124" spans="1:5" ht="24.6" thickTop="1" thickBot="1" x14ac:dyDescent="0.35">
      <c r="B124" s="57" t="s">
        <v>35</v>
      </c>
      <c r="D124" s="25"/>
    </row>
    <row r="125" spans="1:5" ht="24.6" thickTop="1" thickBot="1" x14ac:dyDescent="0.35">
      <c r="B125" s="57">
        <v>46619</v>
      </c>
      <c r="D125" s="25"/>
    </row>
    <row r="126" spans="1:5" ht="24.6" thickTop="1" thickBot="1" x14ac:dyDescent="0.35">
      <c r="D126" s="35" t="s">
        <v>29</v>
      </c>
    </row>
    <row r="127" spans="1:5" ht="24.6" thickTop="1" thickBot="1" x14ac:dyDescent="0.5">
      <c r="C127" s="4"/>
      <c r="D127" s="35">
        <f>SUM(D4:D118)</f>
        <v>0</v>
      </c>
    </row>
  </sheetData>
  <mergeCells count="14">
    <mergeCell ref="A108:A116"/>
    <mergeCell ref="A4:A9"/>
    <mergeCell ref="A10:A17"/>
    <mergeCell ref="A18:A25"/>
    <mergeCell ref="A26:A33"/>
    <mergeCell ref="A81:A89"/>
    <mergeCell ref="A90:A98"/>
    <mergeCell ref="A99:A107"/>
    <mergeCell ref="A34:A42"/>
    <mergeCell ref="A43:A51"/>
    <mergeCell ref="A52:A60"/>
    <mergeCell ref="A61:A70"/>
    <mergeCell ref="A71:A80"/>
    <mergeCell ref="A1:E1"/>
  </mergeCells>
  <pageMargins left="0.7" right="0.7" top="0.75" bottom="0.75" header="0.3" footer="0.3"/>
  <pageSetup paperSize="8" orientation="portrait" r:id="rId1"/>
  <ignoredErrors>
    <ignoredError sqref="D4 D6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D68B-CF50-4AC5-B395-EB96D400B5ED}">
  <dimension ref="A1:F127"/>
  <sheetViews>
    <sheetView rightToLeft="1" tabSelected="1" topLeftCell="A79" zoomScale="70" zoomScaleNormal="70" workbookViewId="0">
      <selection activeCell="I87" sqref="I87"/>
    </sheetView>
  </sheetViews>
  <sheetFormatPr defaultColWidth="9.109375" defaultRowHeight="23.4" x14ac:dyDescent="0.3"/>
  <cols>
    <col min="1" max="1" width="19" style="1" bestFit="1" customWidth="1"/>
    <col min="2" max="2" width="27.77734375" style="72" bestFit="1" customWidth="1"/>
    <col min="3" max="3" width="34.109375" style="2" bestFit="1" customWidth="1"/>
    <col min="4" max="4" width="20.44140625" style="2" bestFit="1" customWidth="1"/>
    <col min="5" max="5" width="18.6640625" style="2" bestFit="1" customWidth="1"/>
    <col min="6" max="6" width="20" style="1" customWidth="1"/>
    <col min="7" max="16384" width="9.109375" style="1"/>
  </cols>
  <sheetData>
    <row r="1" spans="1:6" ht="28.8" x14ac:dyDescent="0.3">
      <c r="A1" s="84" t="s">
        <v>33</v>
      </c>
      <c r="B1" s="84"/>
      <c r="C1" s="84"/>
      <c r="D1" s="84"/>
      <c r="E1" s="84"/>
    </row>
    <row r="2" spans="1:6" ht="24" thickBot="1" x14ac:dyDescent="0.35"/>
    <row r="3" spans="1:6" ht="24.6" thickTop="1" thickBot="1" x14ac:dyDescent="0.35">
      <c r="A3" s="69" t="s">
        <v>21</v>
      </c>
      <c r="B3" s="73" t="s">
        <v>4</v>
      </c>
      <c r="C3" s="70" t="s">
        <v>5</v>
      </c>
      <c r="D3" s="70" t="s">
        <v>22</v>
      </c>
      <c r="E3" s="70" t="s">
        <v>23</v>
      </c>
      <c r="F3" s="2"/>
    </row>
    <row r="4" spans="1:6" ht="24.6" thickTop="1" thickBot="1" x14ac:dyDescent="0.35">
      <c r="A4" s="80" t="s">
        <v>8</v>
      </c>
      <c r="B4" s="56">
        <v>46250</v>
      </c>
      <c r="C4" s="39" t="s">
        <v>28</v>
      </c>
      <c r="D4" s="68">
        <f>'أغسطس 2026'!C43</f>
        <v>850</v>
      </c>
      <c r="E4" s="65"/>
    </row>
    <row r="5" spans="1:6" ht="24.6" thickTop="1" thickBot="1" x14ac:dyDescent="0.35">
      <c r="A5" s="80"/>
      <c r="B5" s="54"/>
      <c r="C5" s="6" t="s">
        <v>34</v>
      </c>
      <c r="D5" s="21">
        <f>'أغسطس 2026'!C16*-1</f>
        <v>-1700</v>
      </c>
      <c r="E5" s="3"/>
    </row>
    <row r="6" spans="1:6" ht="24.6" thickTop="1" thickBot="1" x14ac:dyDescent="0.35">
      <c r="A6" s="78"/>
      <c r="B6" s="54">
        <v>46250</v>
      </c>
      <c r="C6" s="6" t="s">
        <v>31</v>
      </c>
      <c r="D6" s="21">
        <v>-850</v>
      </c>
      <c r="E6" s="3"/>
    </row>
    <row r="7" spans="1:6" ht="24.6" thickTop="1" thickBot="1" x14ac:dyDescent="0.35">
      <c r="A7" s="78"/>
      <c r="B7" s="55"/>
      <c r="C7" s="6"/>
      <c r="D7" s="26"/>
      <c r="E7" s="3"/>
    </row>
    <row r="8" spans="1:6" ht="24.6" thickTop="1" thickBot="1" x14ac:dyDescent="0.35">
      <c r="A8" s="78"/>
      <c r="B8" s="51"/>
      <c r="C8" s="6"/>
      <c r="D8" s="26"/>
      <c r="E8" s="3"/>
    </row>
    <row r="9" spans="1:6" ht="24.6" thickTop="1" thickBot="1" x14ac:dyDescent="0.35">
      <c r="A9" s="78"/>
      <c r="B9" s="55"/>
      <c r="C9" s="31"/>
      <c r="D9" s="29"/>
      <c r="E9" s="3"/>
    </row>
    <row r="10" spans="1:6" ht="24.6" thickTop="1" thickBot="1" x14ac:dyDescent="0.35">
      <c r="A10" s="78" t="s">
        <v>9</v>
      </c>
      <c r="B10" s="52"/>
      <c r="C10" s="32"/>
      <c r="D10" s="30"/>
      <c r="E10" s="71"/>
    </row>
    <row r="11" spans="1:6" ht="24.6" thickTop="1" thickBot="1" x14ac:dyDescent="0.35">
      <c r="A11" s="78"/>
      <c r="B11" s="50">
        <v>46266</v>
      </c>
      <c r="C11" s="19" t="s">
        <v>28</v>
      </c>
      <c r="D11" s="67">
        <f>'سبتمبر 2026'!C43</f>
        <v>0</v>
      </c>
      <c r="E11" s="42"/>
    </row>
    <row r="12" spans="1:6" ht="24.6" thickTop="1" thickBot="1" x14ac:dyDescent="0.35">
      <c r="A12" s="78"/>
      <c r="B12" s="54"/>
      <c r="C12" s="17" t="s">
        <v>34</v>
      </c>
      <c r="D12" s="23">
        <f>'سبتمبر 2026'!C16*-1</f>
        <v>0</v>
      </c>
      <c r="E12" s="45"/>
    </row>
    <row r="13" spans="1:6" ht="24.6" thickTop="1" thickBot="1" x14ac:dyDescent="0.35">
      <c r="A13" s="78"/>
      <c r="B13" s="51"/>
      <c r="C13" s="17" t="s">
        <v>31</v>
      </c>
      <c r="D13" s="23"/>
      <c r="E13" s="44"/>
    </row>
    <row r="14" spans="1:6" ht="24.6" thickTop="1" thickBot="1" x14ac:dyDescent="0.35">
      <c r="A14" s="78"/>
      <c r="B14" s="51"/>
      <c r="C14" s="17"/>
      <c r="D14" s="23"/>
      <c r="E14" s="40"/>
    </row>
    <row r="15" spans="1:6" ht="24.6" thickTop="1" thickBot="1" x14ac:dyDescent="0.35">
      <c r="A15" s="78"/>
      <c r="B15" s="51"/>
      <c r="C15" s="27"/>
      <c r="D15" s="28"/>
      <c r="E15" s="40"/>
    </row>
    <row r="16" spans="1:6" ht="24.6" thickTop="1" thickBot="1" x14ac:dyDescent="0.35">
      <c r="A16" s="78"/>
      <c r="B16" s="53"/>
      <c r="C16" s="27"/>
      <c r="D16" s="28"/>
      <c r="E16" s="48"/>
    </row>
    <row r="17" spans="1:5" ht="24.6" thickTop="1" thickBot="1" x14ac:dyDescent="0.35">
      <c r="A17" s="78"/>
      <c r="B17" s="53"/>
      <c r="C17" s="33"/>
      <c r="D17" s="28"/>
      <c r="E17" s="49"/>
    </row>
    <row r="18" spans="1:5" ht="24.6" thickTop="1" thickBot="1" x14ac:dyDescent="0.35">
      <c r="A18" s="81" t="s">
        <v>10</v>
      </c>
      <c r="B18" s="52"/>
      <c r="C18" s="34"/>
      <c r="D18" s="24"/>
      <c r="E18" s="41"/>
    </row>
    <row r="19" spans="1:5" ht="24.6" thickTop="1" thickBot="1" x14ac:dyDescent="0.35">
      <c r="A19" s="78"/>
      <c r="B19" s="50">
        <v>46296</v>
      </c>
      <c r="C19" s="18" t="s">
        <v>28</v>
      </c>
      <c r="D19" s="66">
        <f>'أكتوبر 2026'!C43</f>
        <v>0</v>
      </c>
      <c r="E19" s="40"/>
    </row>
    <row r="20" spans="1:5" ht="24.6" thickTop="1" thickBot="1" x14ac:dyDescent="0.35">
      <c r="A20" s="78"/>
      <c r="B20" s="51"/>
      <c r="C20" s="6" t="s">
        <v>34</v>
      </c>
      <c r="D20" s="21">
        <f>'أكتوبر 2026'!C16*-1</f>
        <v>0</v>
      </c>
      <c r="E20" s="40"/>
    </row>
    <row r="21" spans="1:5" ht="24.6" thickTop="1" thickBot="1" x14ac:dyDescent="0.35">
      <c r="A21" s="78"/>
      <c r="B21" s="51"/>
      <c r="C21" s="6" t="s">
        <v>31</v>
      </c>
      <c r="D21" s="21"/>
      <c r="E21" s="44"/>
    </row>
    <row r="22" spans="1:5" ht="24.6" thickTop="1" thickBot="1" x14ac:dyDescent="0.35">
      <c r="A22" s="78"/>
      <c r="B22" s="51"/>
      <c r="C22" s="6"/>
      <c r="D22" s="21"/>
      <c r="E22" s="40"/>
    </row>
    <row r="23" spans="1:5" ht="24.6" thickTop="1" thickBot="1" x14ac:dyDescent="0.35">
      <c r="A23" s="78"/>
      <c r="B23" s="53"/>
      <c r="C23" s="10"/>
      <c r="D23" s="26"/>
      <c r="E23" s="40"/>
    </row>
    <row r="24" spans="1:5" ht="24.6" thickTop="1" thickBot="1" x14ac:dyDescent="0.35">
      <c r="A24" s="78"/>
      <c r="B24" s="53"/>
      <c r="C24" s="10"/>
      <c r="D24" s="26"/>
      <c r="E24" s="48"/>
    </row>
    <row r="25" spans="1:5" ht="24.6" thickTop="1" thickBot="1" x14ac:dyDescent="0.35">
      <c r="A25" s="78"/>
      <c r="B25" s="53"/>
      <c r="C25" s="31"/>
      <c r="D25" s="26"/>
      <c r="E25" s="49"/>
    </row>
    <row r="26" spans="1:5" ht="24.6" thickTop="1" thickBot="1" x14ac:dyDescent="0.35">
      <c r="A26" s="78" t="s">
        <v>11</v>
      </c>
      <c r="B26" s="52"/>
      <c r="C26" s="32"/>
      <c r="D26" s="22"/>
      <c r="E26" s="41"/>
    </row>
    <row r="27" spans="1:5" ht="24.6" thickTop="1" thickBot="1" x14ac:dyDescent="0.35">
      <c r="A27" s="78"/>
      <c r="B27" s="50">
        <v>46327</v>
      </c>
      <c r="C27" s="19" t="s">
        <v>28</v>
      </c>
      <c r="D27" s="67">
        <f>'نوفمبر 2026'!C43</f>
        <v>0</v>
      </c>
      <c r="E27" s="46"/>
    </row>
    <row r="28" spans="1:5" ht="24.6" thickTop="1" thickBot="1" x14ac:dyDescent="0.35">
      <c r="A28" s="78"/>
      <c r="B28" s="51"/>
      <c r="C28" s="17" t="s">
        <v>34</v>
      </c>
      <c r="D28" s="23">
        <f>'نوفمبر 2026'!C16*-1</f>
        <v>0</v>
      </c>
      <c r="E28" s="47"/>
    </row>
    <row r="29" spans="1:5" ht="24.6" thickTop="1" thickBot="1" x14ac:dyDescent="0.35">
      <c r="A29" s="78"/>
      <c r="B29" s="51"/>
      <c r="C29" s="17" t="s">
        <v>31</v>
      </c>
      <c r="D29" s="23"/>
      <c r="E29" s="44"/>
    </row>
    <row r="30" spans="1:5" ht="24.6" thickTop="1" thickBot="1" x14ac:dyDescent="0.35">
      <c r="A30" s="78"/>
      <c r="B30" s="51"/>
      <c r="C30" s="17"/>
      <c r="D30" s="23"/>
      <c r="E30" s="40"/>
    </row>
    <row r="31" spans="1:5" ht="24.6" thickTop="1" thickBot="1" x14ac:dyDescent="0.35">
      <c r="A31" s="78"/>
      <c r="B31" s="53"/>
      <c r="C31" s="27"/>
      <c r="D31" s="28"/>
      <c r="E31" s="40"/>
    </row>
    <row r="32" spans="1:5" ht="24.6" thickTop="1" thickBot="1" x14ac:dyDescent="0.35">
      <c r="A32" s="78"/>
      <c r="B32" s="53"/>
      <c r="C32" s="27"/>
      <c r="D32" s="28"/>
      <c r="E32" s="48"/>
    </row>
    <row r="33" spans="1:5" ht="24.6" thickTop="1" thickBot="1" x14ac:dyDescent="0.35">
      <c r="A33" s="78"/>
      <c r="B33" s="53"/>
      <c r="C33" s="33"/>
      <c r="D33" s="28"/>
      <c r="E33" s="49"/>
    </row>
    <row r="34" spans="1:5" ht="24.6" thickTop="1" thickBot="1" x14ac:dyDescent="0.35">
      <c r="A34" s="78" t="s">
        <v>12</v>
      </c>
      <c r="B34" s="52"/>
      <c r="C34" s="34"/>
      <c r="D34" s="24"/>
      <c r="E34" s="41"/>
    </row>
    <row r="35" spans="1:5" ht="24.6" thickTop="1" thickBot="1" x14ac:dyDescent="0.35">
      <c r="A35" s="78"/>
      <c r="B35" s="50">
        <v>46357</v>
      </c>
      <c r="C35" s="18" t="s">
        <v>28</v>
      </c>
      <c r="D35" s="66">
        <f>'ديسمبر 2026'!C43</f>
        <v>0</v>
      </c>
      <c r="E35" s="46"/>
    </row>
    <row r="36" spans="1:5" ht="24.6" thickTop="1" thickBot="1" x14ac:dyDescent="0.35">
      <c r="A36" s="78"/>
      <c r="B36" s="54"/>
      <c r="C36" s="6" t="s">
        <v>34</v>
      </c>
      <c r="D36" s="21">
        <f>'ديسمبر 2026'!C16*-1</f>
        <v>0</v>
      </c>
      <c r="E36" s="47"/>
    </row>
    <row r="37" spans="1:5" ht="24.6" thickTop="1" thickBot="1" x14ac:dyDescent="0.35">
      <c r="A37" s="78"/>
      <c r="B37" s="51"/>
      <c r="C37" s="6" t="s">
        <v>31</v>
      </c>
      <c r="D37" s="21"/>
      <c r="E37" s="44"/>
    </row>
    <row r="38" spans="1:5" ht="24.6" thickTop="1" thickBot="1" x14ac:dyDescent="0.35">
      <c r="A38" s="78"/>
      <c r="B38" s="51"/>
      <c r="C38" s="6"/>
      <c r="D38" s="21"/>
      <c r="E38" s="40"/>
    </row>
    <row r="39" spans="1:5" ht="24.6" thickTop="1" thickBot="1" x14ac:dyDescent="0.35">
      <c r="A39" s="78"/>
      <c r="B39" s="53"/>
      <c r="C39" s="10"/>
      <c r="D39" s="26"/>
      <c r="E39" s="40"/>
    </row>
    <row r="40" spans="1:5" ht="24.6" thickTop="1" thickBot="1" x14ac:dyDescent="0.35">
      <c r="A40" s="78"/>
      <c r="B40" s="53"/>
      <c r="C40" s="10"/>
      <c r="D40" s="26"/>
      <c r="E40" s="43"/>
    </row>
    <row r="41" spans="1:5" ht="24.6" thickTop="1" thickBot="1" x14ac:dyDescent="0.35">
      <c r="A41" s="78"/>
      <c r="B41" s="53"/>
      <c r="C41" s="10"/>
      <c r="D41" s="26"/>
      <c r="E41" s="48"/>
    </row>
    <row r="42" spans="1:5" ht="24.6" thickTop="1" thickBot="1" x14ac:dyDescent="0.35">
      <c r="A42" s="78"/>
      <c r="B42" s="53"/>
      <c r="C42" s="31"/>
      <c r="D42" s="26"/>
      <c r="E42" s="49"/>
    </row>
    <row r="43" spans="1:5" ht="24.6" thickTop="1" thickBot="1" x14ac:dyDescent="0.35">
      <c r="A43" s="78" t="s">
        <v>13</v>
      </c>
      <c r="B43" s="52"/>
      <c r="C43" s="32"/>
      <c r="D43" s="22"/>
      <c r="E43" s="41"/>
    </row>
    <row r="44" spans="1:5" ht="24.6" thickTop="1" thickBot="1" x14ac:dyDescent="0.35">
      <c r="A44" s="78"/>
      <c r="B44" s="50">
        <v>46388</v>
      </c>
      <c r="C44" s="19" t="s">
        <v>28</v>
      </c>
      <c r="D44" s="67">
        <f>'يناير 2027'!C43</f>
        <v>0</v>
      </c>
      <c r="E44" s="46"/>
    </row>
    <row r="45" spans="1:5" ht="24.6" thickTop="1" thickBot="1" x14ac:dyDescent="0.35">
      <c r="A45" s="78"/>
      <c r="B45" s="54"/>
      <c r="C45" s="17" t="s">
        <v>34</v>
      </c>
      <c r="D45" s="23">
        <f>'يناير 2027'!C16*-1</f>
        <v>0</v>
      </c>
      <c r="E45" s="47"/>
    </row>
    <row r="46" spans="1:5" ht="24.6" thickTop="1" thickBot="1" x14ac:dyDescent="0.35">
      <c r="A46" s="78"/>
      <c r="B46" s="51"/>
      <c r="C46" s="17" t="s">
        <v>31</v>
      </c>
      <c r="D46" s="23"/>
      <c r="E46" s="44"/>
    </row>
    <row r="47" spans="1:5" ht="24.6" thickTop="1" thickBot="1" x14ac:dyDescent="0.35">
      <c r="A47" s="78"/>
      <c r="B47" s="51"/>
      <c r="C47" s="17"/>
      <c r="D47" s="23"/>
      <c r="E47" s="40"/>
    </row>
    <row r="48" spans="1:5" ht="24.6" thickTop="1" thickBot="1" x14ac:dyDescent="0.35">
      <c r="A48" s="78"/>
      <c r="B48" s="53"/>
      <c r="C48" s="27"/>
      <c r="D48" s="28"/>
      <c r="E48" s="63"/>
    </row>
    <row r="49" spans="1:5" ht="24.6" thickTop="1" thickBot="1" x14ac:dyDescent="0.35">
      <c r="A49" s="78"/>
      <c r="B49" s="53"/>
      <c r="C49" s="27"/>
      <c r="D49" s="28"/>
      <c r="E49" s="40"/>
    </row>
    <row r="50" spans="1:5" ht="24.6" thickTop="1" thickBot="1" x14ac:dyDescent="0.35">
      <c r="A50" s="78"/>
      <c r="B50" s="53"/>
      <c r="C50" s="27"/>
      <c r="D50" s="28"/>
      <c r="E50" s="48"/>
    </row>
    <row r="51" spans="1:5" ht="24.6" thickTop="1" thickBot="1" x14ac:dyDescent="0.35">
      <c r="A51" s="78"/>
      <c r="B51" s="53"/>
      <c r="C51" s="33"/>
      <c r="D51" s="28"/>
      <c r="E51" s="49"/>
    </row>
    <row r="52" spans="1:5" ht="24.6" thickTop="1" thickBot="1" x14ac:dyDescent="0.35">
      <c r="A52" s="78" t="s">
        <v>14</v>
      </c>
      <c r="B52" s="52"/>
      <c r="C52" s="34"/>
      <c r="D52" s="24"/>
      <c r="E52" s="41"/>
    </row>
    <row r="53" spans="1:5" ht="24.6" thickTop="1" thickBot="1" x14ac:dyDescent="0.35">
      <c r="A53" s="78"/>
      <c r="B53" s="50">
        <v>46419</v>
      </c>
      <c r="C53" s="18" t="s">
        <v>28</v>
      </c>
      <c r="D53" s="66">
        <f>'فبراير 2027'!C43</f>
        <v>0</v>
      </c>
      <c r="E53" s="46"/>
    </row>
    <row r="54" spans="1:5" ht="24.6" thickTop="1" thickBot="1" x14ac:dyDescent="0.35">
      <c r="A54" s="78"/>
      <c r="B54" s="54"/>
      <c r="C54" s="6" t="s">
        <v>34</v>
      </c>
      <c r="D54" s="21">
        <f>'فبراير 2027'!C16*-1</f>
        <v>0</v>
      </c>
      <c r="E54" s="47"/>
    </row>
    <row r="55" spans="1:5" ht="24.6" thickTop="1" thickBot="1" x14ac:dyDescent="0.35">
      <c r="A55" s="78"/>
      <c r="B55" s="51"/>
      <c r="C55" s="6" t="s">
        <v>31</v>
      </c>
      <c r="D55" s="21"/>
      <c r="E55" s="44"/>
    </row>
    <row r="56" spans="1:5" ht="24.6" thickTop="1" thickBot="1" x14ac:dyDescent="0.35">
      <c r="A56" s="78"/>
      <c r="B56" s="51"/>
      <c r="C56" s="6"/>
      <c r="D56" s="21"/>
      <c r="E56" s="40"/>
    </row>
    <row r="57" spans="1:5" ht="24.6" thickTop="1" thickBot="1" x14ac:dyDescent="0.35">
      <c r="A57" s="78"/>
      <c r="B57" s="53"/>
      <c r="C57" s="10"/>
      <c r="D57" s="26"/>
      <c r="E57" s="40"/>
    </row>
    <row r="58" spans="1:5" ht="24.6" thickTop="1" thickBot="1" x14ac:dyDescent="0.35">
      <c r="A58" s="78"/>
      <c r="B58" s="53"/>
      <c r="C58" s="10"/>
      <c r="D58" s="26"/>
      <c r="E58" s="40"/>
    </row>
    <row r="59" spans="1:5" ht="24.6" thickTop="1" thickBot="1" x14ac:dyDescent="0.35">
      <c r="A59" s="78"/>
      <c r="B59" s="53"/>
      <c r="C59" s="10"/>
      <c r="D59" s="26"/>
      <c r="E59" s="48"/>
    </row>
    <row r="60" spans="1:5" ht="24.6" thickTop="1" thickBot="1" x14ac:dyDescent="0.35">
      <c r="A60" s="78"/>
      <c r="B60" s="53"/>
      <c r="C60" s="31"/>
      <c r="D60" s="26"/>
      <c r="E60" s="49"/>
    </row>
    <row r="61" spans="1:5" ht="24.6" thickTop="1" thickBot="1" x14ac:dyDescent="0.35">
      <c r="A61" s="78" t="s">
        <v>15</v>
      </c>
      <c r="B61" s="52"/>
      <c r="C61" s="32"/>
      <c r="D61" s="22"/>
      <c r="E61" s="41"/>
    </row>
    <row r="62" spans="1:5" ht="24.6" thickTop="1" thickBot="1" x14ac:dyDescent="0.35">
      <c r="A62" s="78"/>
      <c r="B62" s="50">
        <v>46447</v>
      </c>
      <c r="C62" s="19" t="s">
        <v>28</v>
      </c>
      <c r="D62" s="67">
        <f>'مارس 2027'!C43</f>
        <v>0</v>
      </c>
      <c r="E62" s="64"/>
    </row>
    <row r="63" spans="1:5" ht="24.6" thickTop="1" thickBot="1" x14ac:dyDescent="0.35">
      <c r="A63" s="78"/>
      <c r="B63" s="54"/>
      <c r="C63" s="17" t="s">
        <v>34</v>
      </c>
      <c r="D63" s="23">
        <f>'مارس 2027'!C16*-1</f>
        <v>0</v>
      </c>
      <c r="E63" s="47"/>
    </row>
    <row r="64" spans="1:5" ht="24.6" thickTop="1" thickBot="1" x14ac:dyDescent="0.35">
      <c r="A64" s="78"/>
      <c r="B64" s="51"/>
      <c r="C64" s="17" t="s">
        <v>31</v>
      </c>
      <c r="D64" s="23"/>
      <c r="E64" s="44"/>
    </row>
    <row r="65" spans="1:5" ht="24.6" thickTop="1" thickBot="1" x14ac:dyDescent="0.35">
      <c r="A65" s="78"/>
      <c r="B65" s="51"/>
      <c r="C65" s="17"/>
      <c r="D65" s="23"/>
      <c r="E65" s="40"/>
    </row>
    <row r="66" spans="1:5" ht="24.6" thickTop="1" thickBot="1" x14ac:dyDescent="0.35">
      <c r="A66" s="78"/>
      <c r="B66" s="53"/>
      <c r="C66" s="27"/>
      <c r="D66" s="28"/>
      <c r="E66" s="40"/>
    </row>
    <row r="67" spans="1:5" ht="24.6" thickTop="1" thickBot="1" x14ac:dyDescent="0.35">
      <c r="A67" s="78"/>
      <c r="B67" s="53"/>
      <c r="C67" s="27"/>
      <c r="D67" s="28"/>
      <c r="E67" s="40"/>
    </row>
    <row r="68" spans="1:5" ht="24.6" thickTop="1" thickBot="1" x14ac:dyDescent="0.35">
      <c r="A68" s="78"/>
      <c r="B68" s="53"/>
      <c r="C68" s="27"/>
      <c r="D68" s="28"/>
      <c r="E68" s="40"/>
    </row>
    <row r="69" spans="1:5" ht="24.6" thickTop="1" thickBot="1" x14ac:dyDescent="0.35">
      <c r="A69" s="78"/>
      <c r="B69" s="53"/>
      <c r="C69" s="27"/>
      <c r="D69" s="28"/>
      <c r="E69" s="48"/>
    </row>
    <row r="70" spans="1:5" ht="24.6" thickTop="1" thickBot="1" x14ac:dyDescent="0.35">
      <c r="A70" s="78"/>
      <c r="B70" s="53"/>
      <c r="C70" s="33"/>
      <c r="D70" s="28"/>
      <c r="E70" s="49"/>
    </row>
    <row r="71" spans="1:5" ht="24.6" thickTop="1" thickBot="1" x14ac:dyDescent="0.35">
      <c r="A71" s="78" t="s">
        <v>16</v>
      </c>
      <c r="B71" s="52"/>
      <c r="C71" s="34"/>
      <c r="D71" s="24"/>
      <c r="E71" s="41"/>
    </row>
    <row r="72" spans="1:5" ht="24.6" thickTop="1" thickBot="1" x14ac:dyDescent="0.35">
      <c r="A72" s="78"/>
      <c r="B72" s="50">
        <v>46478</v>
      </c>
      <c r="C72" s="18" t="s">
        <v>28</v>
      </c>
      <c r="D72" s="66">
        <f>'أبريل 2027'!C43</f>
        <v>0</v>
      </c>
      <c r="E72" s="46"/>
    </row>
    <row r="73" spans="1:5" ht="24.6" thickTop="1" thickBot="1" x14ac:dyDescent="0.35">
      <c r="A73" s="78"/>
      <c r="B73" s="54"/>
      <c r="C73" s="6" t="s">
        <v>34</v>
      </c>
      <c r="D73" s="21">
        <f>'أبريل 2027'!C16*-1</f>
        <v>0</v>
      </c>
      <c r="E73" s="47"/>
    </row>
    <row r="74" spans="1:5" ht="24.6" thickTop="1" thickBot="1" x14ac:dyDescent="0.35">
      <c r="A74" s="78"/>
      <c r="B74" s="51"/>
      <c r="C74" s="6" t="s">
        <v>31</v>
      </c>
      <c r="D74" s="21"/>
      <c r="E74" s="44"/>
    </row>
    <row r="75" spans="1:5" ht="24.6" thickTop="1" thickBot="1" x14ac:dyDescent="0.35">
      <c r="A75" s="78"/>
      <c r="B75" s="51"/>
      <c r="C75" s="6"/>
      <c r="D75" s="21"/>
      <c r="E75" s="40"/>
    </row>
    <row r="76" spans="1:5" ht="24.6" thickTop="1" thickBot="1" x14ac:dyDescent="0.35">
      <c r="A76" s="78"/>
      <c r="B76" s="53"/>
      <c r="C76" s="10"/>
      <c r="D76" s="26"/>
      <c r="E76" s="40"/>
    </row>
    <row r="77" spans="1:5" ht="24.6" thickTop="1" thickBot="1" x14ac:dyDescent="0.35">
      <c r="A77" s="78"/>
      <c r="B77" s="53"/>
      <c r="C77" s="10"/>
      <c r="D77" s="26"/>
      <c r="E77" s="40"/>
    </row>
    <row r="78" spans="1:5" ht="24.6" thickTop="1" thickBot="1" x14ac:dyDescent="0.35">
      <c r="A78" s="78"/>
      <c r="B78" s="53"/>
      <c r="C78" s="10"/>
      <c r="D78" s="26"/>
      <c r="E78" s="40"/>
    </row>
    <row r="79" spans="1:5" ht="24.6" thickTop="1" thickBot="1" x14ac:dyDescent="0.35">
      <c r="A79" s="78"/>
      <c r="B79" s="53"/>
      <c r="C79" s="10"/>
      <c r="D79" s="26"/>
      <c r="E79" s="48"/>
    </row>
    <row r="80" spans="1:5" ht="24.6" thickTop="1" thickBot="1" x14ac:dyDescent="0.35">
      <c r="A80" s="78"/>
      <c r="B80" s="53"/>
      <c r="C80" s="31"/>
      <c r="D80" s="26"/>
      <c r="E80" s="49"/>
    </row>
    <row r="81" spans="1:5" ht="24.6" thickTop="1" thickBot="1" x14ac:dyDescent="0.35">
      <c r="A81" s="78" t="s">
        <v>17</v>
      </c>
      <c r="B81" s="52"/>
      <c r="C81" s="32"/>
      <c r="D81" s="22"/>
      <c r="E81" s="41"/>
    </row>
    <row r="82" spans="1:5" ht="24.6" thickTop="1" thickBot="1" x14ac:dyDescent="0.35">
      <c r="A82" s="78"/>
      <c r="B82" s="50">
        <v>46508</v>
      </c>
      <c r="C82" s="19" t="s">
        <v>28</v>
      </c>
      <c r="D82" s="67">
        <f>'مارس 2027'!C43</f>
        <v>0</v>
      </c>
      <c r="E82" s="46"/>
    </row>
    <row r="83" spans="1:5" ht="24.6" thickTop="1" thickBot="1" x14ac:dyDescent="0.35">
      <c r="A83" s="78"/>
      <c r="B83" s="54"/>
      <c r="C83" s="17" t="s">
        <v>34</v>
      </c>
      <c r="D83" s="23">
        <f>'مارس 2027'!C16*-1</f>
        <v>0</v>
      </c>
      <c r="E83" s="47"/>
    </row>
    <row r="84" spans="1:5" ht="24.6" thickTop="1" thickBot="1" x14ac:dyDescent="0.35">
      <c r="A84" s="78"/>
      <c r="B84" s="51"/>
      <c r="C84" s="17" t="s">
        <v>31</v>
      </c>
      <c r="D84" s="23"/>
      <c r="E84" s="44"/>
    </row>
    <row r="85" spans="1:5" ht="24.6" thickTop="1" thickBot="1" x14ac:dyDescent="0.35">
      <c r="A85" s="78"/>
      <c r="B85" s="51"/>
      <c r="C85" s="17"/>
      <c r="D85" s="23"/>
      <c r="E85" s="40"/>
    </row>
    <row r="86" spans="1:5" ht="24.6" thickTop="1" thickBot="1" x14ac:dyDescent="0.35">
      <c r="A86" s="78"/>
      <c r="B86" s="53"/>
      <c r="C86" s="27"/>
      <c r="D86" s="28"/>
      <c r="E86" s="40"/>
    </row>
    <row r="87" spans="1:5" ht="24.6" thickTop="1" thickBot="1" x14ac:dyDescent="0.35">
      <c r="A87" s="78"/>
      <c r="B87" s="53"/>
      <c r="C87" s="27"/>
      <c r="D87" s="28"/>
      <c r="E87" s="40"/>
    </row>
    <row r="88" spans="1:5" ht="24.6" thickTop="1" thickBot="1" x14ac:dyDescent="0.35">
      <c r="A88" s="78"/>
      <c r="B88" s="53"/>
      <c r="C88" s="27"/>
      <c r="D88" s="28"/>
      <c r="E88" s="48"/>
    </row>
    <row r="89" spans="1:5" ht="24.6" thickTop="1" thickBot="1" x14ac:dyDescent="0.35">
      <c r="A89" s="78"/>
      <c r="B89" s="53"/>
      <c r="C89" s="33"/>
      <c r="D89" s="28"/>
      <c r="E89" s="49"/>
    </row>
    <row r="90" spans="1:5" ht="24.6" thickTop="1" thickBot="1" x14ac:dyDescent="0.35">
      <c r="A90" s="78" t="s">
        <v>18</v>
      </c>
      <c r="B90" s="52"/>
      <c r="C90" s="34"/>
      <c r="D90" s="24"/>
      <c r="E90" s="41"/>
    </row>
    <row r="91" spans="1:5" ht="24.6" thickTop="1" thickBot="1" x14ac:dyDescent="0.35">
      <c r="A91" s="78"/>
      <c r="B91" s="50">
        <v>46539</v>
      </c>
      <c r="C91" s="18" t="s">
        <v>28</v>
      </c>
      <c r="D91" s="66">
        <f>'يونيو 2027'!C43</f>
        <v>0</v>
      </c>
      <c r="E91" s="46"/>
    </row>
    <row r="92" spans="1:5" ht="24.6" thickTop="1" thickBot="1" x14ac:dyDescent="0.35">
      <c r="A92" s="78"/>
      <c r="B92" s="54"/>
      <c r="C92" s="6" t="s">
        <v>34</v>
      </c>
      <c r="D92" s="21">
        <f>'يونيو 2027'!C16*-1</f>
        <v>0</v>
      </c>
      <c r="E92" s="47"/>
    </row>
    <row r="93" spans="1:5" ht="24.6" thickTop="1" thickBot="1" x14ac:dyDescent="0.35">
      <c r="A93" s="78"/>
      <c r="B93" s="51"/>
      <c r="C93" s="6" t="s">
        <v>31</v>
      </c>
      <c r="D93" s="21"/>
      <c r="E93" s="44"/>
    </row>
    <row r="94" spans="1:5" ht="24.6" thickTop="1" thickBot="1" x14ac:dyDescent="0.35">
      <c r="A94" s="78"/>
      <c r="B94" s="51"/>
      <c r="C94" s="6"/>
      <c r="D94" s="21"/>
      <c r="E94" s="40"/>
    </row>
    <row r="95" spans="1:5" ht="24.6" thickTop="1" thickBot="1" x14ac:dyDescent="0.35">
      <c r="A95" s="78"/>
      <c r="B95" s="53"/>
      <c r="C95" s="10"/>
      <c r="D95" s="26"/>
      <c r="E95" s="40"/>
    </row>
    <row r="96" spans="1:5" ht="24.6" thickTop="1" thickBot="1" x14ac:dyDescent="0.35">
      <c r="A96" s="78"/>
      <c r="B96" s="53"/>
      <c r="C96" s="10"/>
      <c r="D96" s="26"/>
      <c r="E96" s="40"/>
    </row>
    <row r="97" spans="1:5" ht="24.6" thickTop="1" thickBot="1" x14ac:dyDescent="0.35">
      <c r="A97" s="78"/>
      <c r="B97" s="53"/>
      <c r="C97" s="10"/>
      <c r="D97" s="26"/>
      <c r="E97" s="48"/>
    </row>
    <row r="98" spans="1:5" ht="24.6" thickTop="1" thickBot="1" x14ac:dyDescent="0.35">
      <c r="A98" s="78"/>
      <c r="B98" s="53"/>
      <c r="C98" s="31"/>
      <c r="D98" s="26"/>
      <c r="E98" s="49"/>
    </row>
    <row r="99" spans="1:5" ht="24.6" thickTop="1" thickBot="1" x14ac:dyDescent="0.35">
      <c r="A99" s="78" t="s">
        <v>19</v>
      </c>
      <c r="B99" s="52"/>
      <c r="C99" s="32"/>
      <c r="D99" s="22"/>
      <c r="E99" s="41"/>
    </row>
    <row r="100" spans="1:5" ht="24.6" thickTop="1" thickBot="1" x14ac:dyDescent="0.35">
      <c r="A100" s="78"/>
      <c r="B100" s="50">
        <v>46569</v>
      </c>
      <c r="C100" s="19" t="s">
        <v>28</v>
      </c>
      <c r="D100" s="67">
        <f>'يوليو 2027'!C43</f>
        <v>0</v>
      </c>
      <c r="E100" s="46"/>
    </row>
    <row r="101" spans="1:5" ht="24.6" thickTop="1" thickBot="1" x14ac:dyDescent="0.35">
      <c r="A101" s="78"/>
      <c r="B101" s="54"/>
      <c r="C101" s="17" t="s">
        <v>34</v>
      </c>
      <c r="D101" s="23">
        <f>'يوليو 2027'!C16*-1</f>
        <v>0</v>
      </c>
      <c r="E101" s="47"/>
    </row>
    <row r="102" spans="1:5" ht="24.6" thickTop="1" thickBot="1" x14ac:dyDescent="0.35">
      <c r="A102" s="78"/>
      <c r="B102" s="51"/>
      <c r="C102" s="17" t="s">
        <v>31</v>
      </c>
      <c r="D102" s="23"/>
      <c r="E102" s="44"/>
    </row>
    <row r="103" spans="1:5" ht="24.6" thickTop="1" thickBot="1" x14ac:dyDescent="0.35">
      <c r="A103" s="78"/>
      <c r="B103" s="51"/>
      <c r="C103" s="17"/>
      <c r="D103" s="23"/>
      <c r="E103" s="40"/>
    </row>
    <row r="104" spans="1:5" ht="24.6" thickTop="1" thickBot="1" x14ac:dyDescent="0.35">
      <c r="A104" s="78"/>
      <c r="B104" s="53"/>
      <c r="C104" s="27"/>
      <c r="D104" s="28"/>
      <c r="E104" s="40"/>
    </row>
    <row r="105" spans="1:5" ht="24.6" thickTop="1" thickBot="1" x14ac:dyDescent="0.35">
      <c r="A105" s="78"/>
      <c r="B105" s="53"/>
      <c r="C105" s="27"/>
      <c r="D105" s="28"/>
      <c r="E105" s="40"/>
    </row>
    <row r="106" spans="1:5" ht="24.6" thickTop="1" thickBot="1" x14ac:dyDescent="0.35">
      <c r="A106" s="78"/>
      <c r="B106" s="53"/>
      <c r="C106" s="27"/>
      <c r="D106" s="28"/>
      <c r="E106" s="48"/>
    </row>
    <row r="107" spans="1:5" ht="24.6" thickTop="1" thickBot="1" x14ac:dyDescent="0.35">
      <c r="A107" s="82"/>
      <c r="B107" s="53"/>
      <c r="C107" s="33"/>
      <c r="D107" s="28"/>
      <c r="E107" s="40"/>
    </row>
    <row r="108" spans="1:5" ht="24.6" thickTop="1" thickBot="1" x14ac:dyDescent="0.35">
      <c r="A108" s="78" t="s">
        <v>20</v>
      </c>
      <c r="B108" s="52"/>
      <c r="C108" s="34"/>
      <c r="D108" s="24"/>
      <c r="E108" s="41"/>
    </row>
    <row r="109" spans="1:5" ht="24.6" thickTop="1" thickBot="1" x14ac:dyDescent="0.35">
      <c r="A109" s="78"/>
      <c r="B109" s="50">
        <v>46600</v>
      </c>
      <c r="C109" s="18" t="s">
        <v>28</v>
      </c>
      <c r="D109" s="66">
        <f>'أغسطس 2027'!C43</f>
        <v>0</v>
      </c>
      <c r="E109" s="46"/>
    </row>
    <row r="110" spans="1:5" ht="24.6" thickTop="1" thickBot="1" x14ac:dyDescent="0.35">
      <c r="A110" s="78"/>
      <c r="B110" s="54"/>
      <c r="C110" s="6" t="s">
        <v>34</v>
      </c>
      <c r="D110" s="21">
        <f>'أغسطس 2027'!C16*-1</f>
        <v>0</v>
      </c>
      <c r="E110" s="47"/>
    </row>
    <row r="111" spans="1:5" ht="24.6" thickTop="1" thickBot="1" x14ac:dyDescent="0.35">
      <c r="A111" s="78"/>
      <c r="B111" s="51"/>
      <c r="C111" s="6" t="s">
        <v>31</v>
      </c>
      <c r="D111" s="21"/>
      <c r="E111" s="44"/>
    </row>
    <row r="112" spans="1:5" ht="24.6" thickTop="1" thickBot="1" x14ac:dyDescent="0.35">
      <c r="A112" s="78"/>
      <c r="B112" s="51"/>
      <c r="C112" s="6"/>
      <c r="D112" s="21"/>
      <c r="E112" s="40"/>
    </row>
    <row r="113" spans="1:5" ht="24.6" thickTop="1" thickBot="1" x14ac:dyDescent="0.35">
      <c r="A113" s="78"/>
      <c r="B113" s="53"/>
      <c r="C113" s="10"/>
      <c r="D113" s="26"/>
      <c r="E113" s="40"/>
    </row>
    <row r="114" spans="1:5" ht="24.6" thickTop="1" thickBot="1" x14ac:dyDescent="0.35">
      <c r="A114" s="78"/>
      <c r="B114" s="53"/>
      <c r="C114" s="10"/>
      <c r="D114" s="26"/>
      <c r="E114" s="40"/>
    </row>
    <row r="115" spans="1:5" ht="24.6" thickTop="1" thickBot="1" x14ac:dyDescent="0.35">
      <c r="A115" s="78"/>
      <c r="B115" s="53"/>
      <c r="C115" s="10"/>
      <c r="D115" s="26"/>
      <c r="E115" s="48"/>
    </row>
    <row r="116" spans="1:5" ht="24.6" thickTop="1" thickBot="1" x14ac:dyDescent="0.35">
      <c r="A116" s="79"/>
      <c r="B116" s="85"/>
      <c r="C116" s="86"/>
      <c r="D116" s="22"/>
      <c r="E116" s="87"/>
    </row>
    <row r="117" spans="1:5" ht="24" thickTop="1" x14ac:dyDescent="0.3">
      <c r="D117" s="25"/>
    </row>
    <row r="118" spans="1:5" x14ac:dyDescent="0.3">
      <c r="D118" s="25"/>
    </row>
    <row r="119" spans="1:5" x14ac:dyDescent="0.3">
      <c r="D119" s="25"/>
    </row>
    <row r="120" spans="1:5" x14ac:dyDescent="0.3">
      <c r="D120" s="25"/>
    </row>
    <row r="121" spans="1:5" ht="24" thickBot="1" x14ac:dyDescent="0.35">
      <c r="D121" s="25"/>
    </row>
    <row r="122" spans="1:5" ht="24.6" thickTop="1" thickBot="1" x14ac:dyDescent="0.35">
      <c r="B122" s="38" t="s">
        <v>32</v>
      </c>
      <c r="D122" s="25"/>
    </row>
    <row r="123" spans="1:5" ht="24.6" thickTop="1" thickBot="1" x14ac:dyDescent="0.35">
      <c r="B123" s="38">
        <v>46255</v>
      </c>
      <c r="D123" s="25"/>
    </row>
    <row r="124" spans="1:5" ht="24.6" thickTop="1" thickBot="1" x14ac:dyDescent="0.35">
      <c r="B124" s="57" t="s">
        <v>35</v>
      </c>
      <c r="D124" s="25"/>
    </row>
    <row r="125" spans="1:5" ht="24.6" thickTop="1" thickBot="1" x14ac:dyDescent="0.35">
      <c r="B125" s="57">
        <v>46619</v>
      </c>
      <c r="D125" s="25"/>
    </row>
    <row r="126" spans="1:5" ht="24.6" thickTop="1" thickBot="1" x14ac:dyDescent="0.35">
      <c r="D126" s="35" t="s">
        <v>29</v>
      </c>
    </row>
    <row r="127" spans="1:5" ht="24.6" thickTop="1" thickBot="1" x14ac:dyDescent="0.5">
      <c r="C127" s="4"/>
      <c r="D127" s="35">
        <f>SUM(D4:D118)</f>
        <v>-1700</v>
      </c>
    </row>
  </sheetData>
  <mergeCells count="14">
    <mergeCell ref="A99:A107"/>
    <mergeCell ref="A108:A116"/>
    <mergeCell ref="A43:A51"/>
    <mergeCell ref="A52:A60"/>
    <mergeCell ref="A61:A70"/>
    <mergeCell ref="A71:A80"/>
    <mergeCell ref="A81:A89"/>
    <mergeCell ref="A90:A98"/>
    <mergeCell ref="A1:E1"/>
    <mergeCell ref="A4:A9"/>
    <mergeCell ref="A10:A17"/>
    <mergeCell ref="A18:A25"/>
    <mergeCell ref="A26:A33"/>
    <mergeCell ref="A34:A42"/>
  </mergeCells>
  <pageMargins left="0.7" right="0.7" top="0.75" bottom="0.75" header="0.3" footer="0.3"/>
  <pageSetup paperSize="8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C8C0-5E13-480A-8752-3AE4490B5EB5}">
  <dimension ref="A1:D43"/>
  <sheetViews>
    <sheetView rightToLeft="1" topLeftCell="A3" workbookViewId="0">
      <selection activeCell="A16" sqref="A16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8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>
        <v>46250</v>
      </c>
      <c r="B8" s="3" t="s">
        <v>0</v>
      </c>
      <c r="C8" s="11">
        <v>1700</v>
      </c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1700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1700</v>
      </c>
    </row>
    <row r="43" spans="2:3" ht="23.4" x14ac:dyDescent="0.3">
      <c r="B43" s="20" t="s">
        <v>26</v>
      </c>
      <c r="C43" s="14">
        <f>C42/2</f>
        <v>850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883D-CA10-437F-8767-B5EC65F11633}">
  <dimension ref="A1:D43"/>
  <sheetViews>
    <sheetView rightToLeft="1" topLeftCell="A47" workbookViewId="0">
      <selection activeCell="C24" sqref="C24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9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3B66-7D2C-441E-9B92-CA5BB3402380}">
  <dimension ref="A1:D43"/>
  <sheetViews>
    <sheetView rightToLeft="1" topLeftCell="A12" workbookViewId="0">
      <selection activeCell="C24" sqref="C24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10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BEA1-108C-4B10-8C9C-9FBF68BE860E}">
  <dimension ref="A1:D43"/>
  <sheetViews>
    <sheetView rightToLeft="1" topLeftCell="A5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11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B232-BDFE-41D3-ADA1-578E26848FCB}">
  <dimension ref="A1:D43"/>
  <sheetViews>
    <sheetView rightToLeft="1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12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6A8E-99C1-48F8-8141-2DCDDC994058}">
  <dimension ref="A1:D43"/>
  <sheetViews>
    <sheetView rightToLeft="1" topLeftCell="A5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13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C992-FA12-48AB-A420-1A2F9210820E}">
  <dimension ref="A1:D43"/>
  <sheetViews>
    <sheetView rightToLeft="1" topLeftCell="A7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14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F4A4-4ABA-4F3D-8776-587FD1366D26}">
  <dimension ref="A1:D43"/>
  <sheetViews>
    <sheetView rightToLeft="1" topLeftCell="A8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15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69F3-6335-4FB8-B1EA-4781A449D1A8}">
  <dimension ref="A1:D43"/>
  <sheetViews>
    <sheetView rightToLeft="1" topLeftCell="A7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16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7476-771B-4D7B-81BC-8D74543CF84A}">
  <dimension ref="A1:D43"/>
  <sheetViews>
    <sheetView rightToLeft="1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17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D5DE-7583-4768-BD80-D54EFF37A4D6}">
  <dimension ref="A1:D43"/>
  <sheetViews>
    <sheetView rightToLeft="1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18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  <c r="B5" t="s">
        <v>18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BDBA-C5C5-494A-A0BA-F39E1AFDB8A5}">
  <dimension ref="A1:D43"/>
  <sheetViews>
    <sheetView rightToLeft="1" topLeftCell="A10" workbookViewId="0">
      <selection activeCell="C24" sqref="C24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19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  <c r="B5" t="s">
        <v>18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9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A111-F9ED-4B08-8F7F-11C78FDFC914}">
  <dimension ref="A1:D43"/>
  <sheetViews>
    <sheetView rightToLeft="1" topLeftCell="A11" workbookViewId="0">
      <selection activeCell="C24" sqref="C24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74" t="s">
        <v>20</v>
      </c>
    </row>
    <row r="2" spans="1:4" ht="15" thickTop="1" x14ac:dyDescent="0.3"/>
    <row r="4" spans="1:4" ht="15" thickBot="1" x14ac:dyDescent="0.35"/>
    <row r="5" spans="1:4" ht="24.6" thickTop="1" thickBot="1" x14ac:dyDescent="0.35">
      <c r="A5" s="76" t="s">
        <v>2</v>
      </c>
      <c r="B5" t="s">
        <v>18</v>
      </c>
    </row>
    <row r="6" spans="1:4" ht="24" thickTop="1" x14ac:dyDescent="0.3">
      <c r="A6" s="75"/>
      <c r="B6" s="61"/>
      <c r="C6" s="62"/>
      <c r="D6" s="61"/>
    </row>
    <row r="7" spans="1:4" ht="23.4" x14ac:dyDescent="0.3">
      <c r="A7" s="58" t="s">
        <v>4</v>
      </c>
      <c r="B7" s="8" t="s">
        <v>5</v>
      </c>
      <c r="C7" s="59" t="s">
        <v>6</v>
      </c>
      <c r="D7" s="60" t="s">
        <v>7</v>
      </c>
    </row>
    <row r="8" spans="1:4" ht="23.4" x14ac:dyDescent="0.3">
      <c r="A8" s="36"/>
      <c r="B8" s="3"/>
      <c r="C8" s="11"/>
      <c r="D8" s="7" t="s">
        <v>27</v>
      </c>
    </row>
    <row r="9" spans="1:4" ht="23.4" x14ac:dyDescent="0.3">
      <c r="A9" s="36"/>
      <c r="B9" s="3"/>
      <c r="C9" s="11"/>
      <c r="D9" s="7"/>
    </row>
    <row r="10" spans="1:4" ht="23.4" x14ac:dyDescent="0.3">
      <c r="A10" s="36"/>
      <c r="B10" s="3"/>
      <c r="C10" s="11"/>
      <c r="D10" s="7"/>
    </row>
    <row r="11" spans="1:4" ht="23.4" x14ac:dyDescent="0.3">
      <c r="A11" s="36"/>
      <c r="B11" s="3"/>
      <c r="C11" s="11"/>
      <c r="D11" s="7"/>
    </row>
    <row r="12" spans="1:4" ht="23.4" x14ac:dyDescent="0.3">
      <c r="A12" s="36"/>
      <c r="B12" s="3"/>
      <c r="C12" s="11"/>
      <c r="D12" s="7"/>
    </row>
    <row r="13" spans="1:4" ht="23.4" x14ac:dyDescent="0.3">
      <c r="A13" s="36"/>
      <c r="B13" s="3"/>
      <c r="C13" s="11"/>
      <c r="D13" s="7"/>
    </row>
    <row r="14" spans="1:4" ht="23.4" x14ac:dyDescent="0.3">
      <c r="A14" s="36"/>
      <c r="B14" s="3"/>
      <c r="C14" s="11"/>
      <c r="D14" s="7"/>
    </row>
    <row r="15" spans="1:4" ht="23.4" x14ac:dyDescent="0.3">
      <c r="A15" s="36"/>
      <c r="B15" s="3"/>
      <c r="C15" s="11"/>
      <c r="D15" s="7"/>
    </row>
    <row r="16" spans="1:4" ht="23.4" x14ac:dyDescent="0.3">
      <c r="A16" s="37"/>
      <c r="B16" s="10" t="s">
        <v>24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76" t="s">
        <v>3</v>
      </c>
    </row>
    <row r="22" spans="1:4" ht="24" thickTop="1" x14ac:dyDescent="0.3">
      <c r="A22" s="77"/>
    </row>
    <row r="23" spans="1:4" ht="23.4" x14ac:dyDescent="0.3">
      <c r="A23" s="58" t="s">
        <v>4</v>
      </c>
      <c r="B23" s="8" t="s">
        <v>5</v>
      </c>
      <c r="C23" s="59" t="s">
        <v>6</v>
      </c>
      <c r="D23" s="60" t="s">
        <v>7</v>
      </c>
    </row>
    <row r="24" spans="1:4" ht="23.4" x14ac:dyDescent="0.3">
      <c r="A24" s="56"/>
      <c r="B24" s="3"/>
      <c r="C24" s="11"/>
      <c r="D24" s="7"/>
    </row>
    <row r="25" spans="1:4" ht="23.4" x14ac:dyDescent="0.3">
      <c r="A25" s="56"/>
      <c r="B25" s="3"/>
      <c r="C25" s="11"/>
      <c r="D25" s="7"/>
    </row>
    <row r="26" spans="1:4" ht="23.4" x14ac:dyDescent="0.3">
      <c r="A26" s="56"/>
      <c r="B26" s="3"/>
      <c r="C26" s="11"/>
      <c r="D26" s="7"/>
    </row>
    <row r="27" spans="1:4" ht="23.4" x14ac:dyDescent="0.3">
      <c r="A27" s="56"/>
      <c r="B27" s="3"/>
      <c r="C27" s="11"/>
      <c r="D27" s="7"/>
    </row>
    <row r="28" spans="1:4" ht="23.4" x14ac:dyDescent="0.3">
      <c r="A28" s="36"/>
      <c r="B28" s="3"/>
      <c r="C28" s="11"/>
      <c r="D28" s="7"/>
    </row>
    <row r="29" spans="1:4" ht="23.4" x14ac:dyDescent="0.3">
      <c r="A29" s="36"/>
      <c r="B29" s="3"/>
      <c r="C29" s="11"/>
      <c r="D29" s="7"/>
    </row>
    <row r="30" spans="1:4" ht="23.4" x14ac:dyDescent="0.3">
      <c r="A30" s="36"/>
      <c r="B30" s="3"/>
      <c r="C30" s="11"/>
      <c r="D30" s="7"/>
    </row>
    <row r="31" spans="1:4" ht="23.4" x14ac:dyDescent="0.3">
      <c r="A31" s="36"/>
      <c r="B31" s="3"/>
      <c r="C31" s="11"/>
      <c r="D31" s="7"/>
    </row>
    <row r="32" spans="1:4" ht="23.4" x14ac:dyDescent="0.3">
      <c r="A32" s="37"/>
      <c r="B32" s="10" t="s">
        <v>24</v>
      </c>
      <c r="C32" s="16">
        <f>SUM(C24:C31)</f>
        <v>0</v>
      </c>
      <c r="D32" s="9"/>
    </row>
    <row r="42" spans="2:3" ht="23.4" x14ac:dyDescent="0.3">
      <c r="B42" s="6" t="s">
        <v>25</v>
      </c>
      <c r="C42" s="12">
        <f>C16+C32</f>
        <v>0</v>
      </c>
    </row>
    <row r="43" spans="2:3" ht="23.4" x14ac:dyDescent="0.3">
      <c r="B43" s="20" t="s">
        <v>26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حسين المغلق</vt:lpstr>
      <vt:lpstr>محمد قريش</vt:lpstr>
      <vt:lpstr>أغسطس 2026</vt:lpstr>
      <vt:lpstr>سبتمبر 2026</vt:lpstr>
      <vt:lpstr>أكتوبر 2026</vt:lpstr>
      <vt:lpstr>نوفمبر 2026</vt:lpstr>
      <vt:lpstr>ديسمبر 2026</vt:lpstr>
      <vt:lpstr>يناير 2027</vt:lpstr>
      <vt:lpstr>فبراير 2027</vt:lpstr>
      <vt:lpstr>مارس 2027</vt:lpstr>
      <vt:lpstr>أبريل 2027</vt:lpstr>
      <vt:lpstr>مايو 2027</vt:lpstr>
      <vt:lpstr>يونيو 2027</vt:lpstr>
      <vt:lpstr>يوليو 2027</vt:lpstr>
      <vt:lpstr>أغسطس 2027</vt:lpstr>
    </vt:vector>
  </TitlesOfParts>
  <Manager/>
  <Company>Accenture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Al-Moghalliq, Hussain</dc:creator>
  <cp:keywords/>
  <dc:description/>
  <cp:lastModifiedBy>Hussain Almoghalliq</cp:lastModifiedBy>
  <cp:revision/>
  <cp:lastPrinted>2026-08-17T07:57:10Z</cp:lastPrinted>
  <dcterms:created xsi:type="dcterms:W3CDTF">2016-02-24T06:27:50Z</dcterms:created>
  <dcterms:modified xsi:type="dcterms:W3CDTF">2026-08-18T05:24:59Z</dcterms:modified>
  <cp:category/>
  <cp:contentStatus/>
</cp:coreProperties>
</file>